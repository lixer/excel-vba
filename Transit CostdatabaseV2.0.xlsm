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ixer_000\Desktop\Transit Database\"/>
    </mc:Choice>
  </mc:AlternateContent>
  <bookViews>
    <workbookView xWindow="0" yWindow="0" windowWidth="8676" windowHeight="7308" activeTab="1"/>
  </bookViews>
  <sheets>
    <sheet name="Cost Database" sheetId="2" r:id="rId1"/>
    <sheet name="FilteredData" sheetId="14" r:id="rId2"/>
    <sheet name="Graph" sheetId="3" r:id="rId3"/>
  </sheets>
  <functionGroups builtInGroupCount="18"/>
  <externalReferences>
    <externalReference r:id="rId4"/>
    <externalReference r:id="rId5"/>
  </externalReferences>
  <definedNames>
    <definedName name="_xlnm._FilterDatabase" localSheetId="0" hidden="1">'Cost Database'!$A$5:$AR$25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2" i="3" l="1"/>
  <c r="H62" i="3"/>
  <c r="F62" i="3"/>
  <c r="E62" i="3"/>
  <c r="D62" i="3"/>
  <c r="C62" i="3"/>
  <c r="B62" i="3"/>
  <c r="W61" i="3"/>
  <c r="H61" i="3"/>
  <c r="F61" i="3"/>
  <c r="E61" i="3"/>
  <c r="D61" i="3"/>
  <c r="C61" i="3"/>
  <c r="B61" i="3"/>
  <c r="W60" i="3"/>
  <c r="H60" i="3"/>
  <c r="F60" i="3"/>
  <c r="G60" i="3" s="1"/>
  <c r="E60" i="3"/>
  <c r="D60" i="3"/>
  <c r="C60" i="3"/>
  <c r="B60" i="3"/>
  <c r="W59" i="3"/>
  <c r="H59" i="3"/>
  <c r="F59" i="3"/>
  <c r="G59" i="3" s="1"/>
  <c r="E59" i="3"/>
  <c r="D59" i="3"/>
  <c r="C59" i="3"/>
  <c r="B59" i="3"/>
  <c r="W58" i="3"/>
  <c r="H58" i="3"/>
  <c r="F58" i="3"/>
  <c r="E58" i="3"/>
  <c r="D58" i="3"/>
  <c r="C58" i="3"/>
  <c r="B58" i="3"/>
  <c r="W57" i="3"/>
  <c r="H57" i="3"/>
  <c r="F57" i="3"/>
  <c r="E57" i="3"/>
  <c r="D57" i="3"/>
  <c r="C57" i="3"/>
  <c r="B57" i="3"/>
  <c r="W56" i="3"/>
  <c r="H56" i="3"/>
  <c r="F56" i="3"/>
  <c r="G56" i="3" s="1"/>
  <c r="E56" i="3"/>
  <c r="D56" i="3"/>
  <c r="C56" i="3"/>
  <c r="B56" i="3"/>
  <c r="W55" i="3"/>
  <c r="H55" i="3"/>
  <c r="F55" i="3"/>
  <c r="G55" i="3" s="1"/>
  <c r="E55" i="3"/>
  <c r="D55" i="3"/>
  <c r="C55" i="3"/>
  <c r="B55" i="3"/>
  <c r="W54" i="3"/>
  <c r="H54" i="3"/>
  <c r="F54" i="3"/>
  <c r="E54" i="3"/>
  <c r="D54" i="3"/>
  <c r="C54" i="3"/>
  <c r="B54" i="3"/>
  <c r="W53" i="3"/>
  <c r="H53" i="3"/>
  <c r="F53" i="3"/>
  <c r="E53" i="3"/>
  <c r="D53" i="3"/>
  <c r="C53" i="3"/>
  <c r="B53" i="3"/>
  <c r="W52" i="3"/>
  <c r="H52" i="3"/>
  <c r="F52" i="3"/>
  <c r="E52" i="3"/>
  <c r="D52" i="3"/>
  <c r="C52" i="3"/>
  <c r="B52" i="3"/>
  <c r="G54" i="3" l="1"/>
  <c r="G58" i="3"/>
  <c r="G62" i="3"/>
  <c r="G53" i="3"/>
  <c r="G57" i="3"/>
  <c r="G61" i="3"/>
  <c r="G52" i="3"/>
  <c r="AA6" i="2"/>
  <c r="V9" i="2" l="1"/>
  <c r="AB9" i="2" s="1"/>
  <c r="V7" i="2"/>
  <c r="AB7" i="2" s="1"/>
  <c r="AM7" i="2"/>
  <c r="AN7" i="2"/>
  <c r="AO7" i="2"/>
  <c r="AP7" i="2"/>
  <c r="AM8" i="2"/>
  <c r="AN8" i="2"/>
  <c r="AO8" i="2"/>
  <c r="AP8" i="2"/>
  <c r="AM9" i="2"/>
  <c r="AN9" i="2"/>
  <c r="AO9" i="2"/>
  <c r="AP9" i="2"/>
  <c r="AM10" i="2"/>
  <c r="AN10" i="2"/>
  <c r="AO10" i="2"/>
  <c r="AP10" i="2"/>
  <c r="AM11" i="2"/>
  <c r="AN11" i="2"/>
  <c r="AO11" i="2"/>
  <c r="AP11" i="2"/>
  <c r="AM12" i="2"/>
  <c r="AN12" i="2"/>
  <c r="AO12" i="2"/>
  <c r="AP12" i="2"/>
  <c r="AM13" i="2"/>
  <c r="AN13" i="2"/>
  <c r="AO13" i="2"/>
  <c r="AP13" i="2"/>
  <c r="AM14" i="2"/>
  <c r="AN14" i="2"/>
  <c r="AO14" i="2"/>
  <c r="AP14" i="2"/>
  <c r="AM15" i="2"/>
  <c r="AN15" i="2"/>
  <c r="AO15" i="2"/>
  <c r="AP15" i="2"/>
  <c r="AM16" i="2"/>
  <c r="AN16" i="2"/>
  <c r="AO16" i="2"/>
  <c r="AP16" i="2"/>
  <c r="AM17" i="2"/>
  <c r="AN17" i="2"/>
  <c r="AO17" i="2"/>
  <c r="AP17" i="2"/>
  <c r="AM18" i="2"/>
  <c r="AN18" i="2"/>
  <c r="AO18" i="2"/>
  <c r="AP18" i="2"/>
  <c r="AM19" i="2"/>
  <c r="AN19" i="2"/>
  <c r="AO19" i="2"/>
  <c r="AP19" i="2"/>
  <c r="AM20" i="2"/>
  <c r="AN20" i="2"/>
  <c r="AO20" i="2"/>
  <c r="AP20" i="2"/>
  <c r="AM21" i="2"/>
  <c r="AN21" i="2"/>
  <c r="AO21" i="2"/>
  <c r="AP21" i="2"/>
  <c r="AM22" i="2"/>
  <c r="AN22" i="2"/>
  <c r="AO22" i="2"/>
  <c r="AP22" i="2"/>
  <c r="AM23" i="2"/>
  <c r="AN23" i="2"/>
  <c r="AO23" i="2"/>
  <c r="AP23" i="2"/>
  <c r="AM24" i="2"/>
  <c r="AN24" i="2"/>
  <c r="AO24" i="2"/>
  <c r="AP24" i="2"/>
  <c r="AM25" i="2"/>
  <c r="AN25" i="2"/>
  <c r="AO25" i="2"/>
  <c r="AP25" i="2"/>
  <c r="AP6" i="2"/>
  <c r="AO6" i="2"/>
  <c r="AN6" i="2"/>
  <c r="AM6" i="2"/>
  <c r="AG7" i="2"/>
  <c r="AH7" i="2"/>
  <c r="AI7" i="2"/>
  <c r="AJ7" i="2"/>
  <c r="AG8" i="2"/>
  <c r="AH8" i="2"/>
  <c r="AI8" i="2"/>
  <c r="AJ8" i="2"/>
  <c r="AG9" i="2"/>
  <c r="AH9" i="2"/>
  <c r="AI9" i="2"/>
  <c r="AJ9" i="2"/>
  <c r="AG10" i="2"/>
  <c r="AH10" i="2"/>
  <c r="AI10" i="2"/>
  <c r="AJ10" i="2"/>
  <c r="AG11" i="2"/>
  <c r="AH11" i="2"/>
  <c r="AI11" i="2"/>
  <c r="AJ11" i="2"/>
  <c r="AG12" i="2"/>
  <c r="AH12" i="2"/>
  <c r="AI12" i="2"/>
  <c r="AJ12" i="2"/>
  <c r="AG13" i="2"/>
  <c r="AH13" i="2"/>
  <c r="AI13" i="2"/>
  <c r="AJ13" i="2"/>
  <c r="AG14" i="2"/>
  <c r="AH14" i="2"/>
  <c r="AI14" i="2"/>
  <c r="AJ14" i="2"/>
  <c r="AG15" i="2"/>
  <c r="AH15" i="2"/>
  <c r="AI15" i="2"/>
  <c r="AJ15" i="2"/>
  <c r="AG16" i="2"/>
  <c r="AH16" i="2"/>
  <c r="AI16" i="2"/>
  <c r="AJ16" i="2"/>
  <c r="AG17" i="2"/>
  <c r="AH17" i="2"/>
  <c r="AI17" i="2"/>
  <c r="AJ17" i="2"/>
  <c r="AG18" i="2"/>
  <c r="AH18" i="2"/>
  <c r="AI18" i="2"/>
  <c r="AJ18" i="2"/>
  <c r="AG19" i="2"/>
  <c r="AH19" i="2"/>
  <c r="AI19" i="2"/>
  <c r="AJ19" i="2"/>
  <c r="AG20" i="2"/>
  <c r="AH20" i="2"/>
  <c r="AI20" i="2"/>
  <c r="AJ20" i="2"/>
  <c r="AG21" i="2"/>
  <c r="AH21" i="2"/>
  <c r="AI21" i="2"/>
  <c r="AJ21" i="2"/>
  <c r="AG22" i="2"/>
  <c r="AH22" i="2"/>
  <c r="AI22" i="2"/>
  <c r="AJ22" i="2"/>
  <c r="AG23" i="2"/>
  <c r="AH23" i="2"/>
  <c r="AI23" i="2"/>
  <c r="AJ23" i="2"/>
  <c r="AG24" i="2"/>
  <c r="AH24" i="2"/>
  <c r="AI24" i="2"/>
  <c r="AJ24" i="2"/>
  <c r="AG25" i="2"/>
  <c r="AH25" i="2"/>
  <c r="AI25" i="2"/>
  <c r="AJ25" i="2"/>
  <c r="AJ6" i="2"/>
  <c r="AI6" i="2"/>
  <c r="AH6" i="2"/>
  <c r="AG6" i="2"/>
  <c r="AA7" i="2"/>
  <c r="AA8" i="2"/>
  <c r="AB8" i="2"/>
  <c r="AA9" i="2"/>
  <c r="AA10" i="2"/>
  <c r="AB10" i="2"/>
  <c r="AA11" i="2"/>
  <c r="AB11" i="2"/>
  <c r="AA12" i="2"/>
  <c r="AB12" i="2"/>
  <c r="AA13" i="2"/>
  <c r="AB13" i="2"/>
  <c r="AA14" i="2"/>
  <c r="AB14" i="2"/>
  <c r="AA15" i="2"/>
  <c r="AB15" i="2"/>
  <c r="AA16" i="2"/>
  <c r="AB16" i="2"/>
  <c r="AA17" i="2"/>
  <c r="AB17" i="2"/>
  <c r="AA18" i="2"/>
  <c r="AB18" i="2"/>
  <c r="AA19" i="2"/>
  <c r="AB19" i="2"/>
  <c r="AA20" i="2"/>
  <c r="AB20" i="2"/>
  <c r="AA21" i="2"/>
  <c r="AB21" i="2"/>
  <c r="AA22" i="2"/>
  <c r="AB22" i="2"/>
  <c r="AA23" i="2"/>
  <c r="AB23" i="2"/>
  <c r="AA24" i="2"/>
  <c r="AB24" i="2"/>
  <c r="AA25" i="2"/>
  <c r="AB25" i="2"/>
  <c r="AB6" i="2"/>
  <c r="AC7" i="2"/>
  <c r="AC8" i="2"/>
  <c r="AD8" i="2"/>
  <c r="AC9" i="2"/>
  <c r="AC10" i="2"/>
  <c r="AD10" i="2"/>
  <c r="AC11" i="2"/>
  <c r="AD11" i="2"/>
  <c r="AC12" i="2"/>
  <c r="AD12" i="2"/>
  <c r="AC13" i="2"/>
  <c r="AD13" i="2"/>
  <c r="AC14" i="2"/>
  <c r="AD14" i="2"/>
  <c r="AC15" i="2"/>
  <c r="AD15" i="2"/>
  <c r="AC16" i="2"/>
  <c r="AD16" i="2"/>
  <c r="AC17" i="2"/>
  <c r="AD17" i="2"/>
  <c r="AC18" i="2"/>
  <c r="AD18" i="2"/>
  <c r="AC19" i="2"/>
  <c r="AD19" i="2"/>
  <c r="AC20" i="2"/>
  <c r="AD20" i="2"/>
  <c r="AC21" i="2"/>
  <c r="AD21" i="2"/>
  <c r="AC22" i="2"/>
  <c r="AD22" i="2"/>
  <c r="AC23" i="2"/>
  <c r="AD23" i="2"/>
  <c r="AC24" i="2"/>
  <c r="AD24" i="2"/>
  <c r="AC25" i="2"/>
  <c r="AD25" i="2"/>
  <c r="AD6" i="2"/>
  <c r="AC6" i="2"/>
  <c r="AD9" i="2" l="1"/>
  <c r="AD7" i="2"/>
  <c r="R25" i="2"/>
  <c r="Q25" i="2"/>
  <c r="P25" i="2"/>
  <c r="O25" i="2"/>
  <c r="R24" i="2"/>
  <c r="Q24" i="2"/>
  <c r="P24" i="2"/>
  <c r="O24" i="2"/>
  <c r="R23" i="2"/>
  <c r="Q23" i="2"/>
  <c r="P23" i="2"/>
  <c r="O23" i="2"/>
  <c r="R22" i="2"/>
  <c r="Q22" i="2"/>
  <c r="P22" i="2"/>
  <c r="O22" i="2"/>
  <c r="R21" i="2"/>
  <c r="Q21" i="2"/>
  <c r="P21" i="2"/>
  <c r="O21" i="2"/>
  <c r="R20" i="2"/>
  <c r="Q20" i="2"/>
  <c r="P20" i="2"/>
  <c r="O20" i="2"/>
  <c r="R19" i="2"/>
  <c r="Q19" i="2"/>
  <c r="P19" i="2"/>
  <c r="O19" i="2"/>
  <c r="R18" i="2"/>
  <c r="Q18" i="2"/>
  <c r="P18" i="2"/>
  <c r="O18" i="2"/>
  <c r="R17" i="2"/>
  <c r="Q17" i="2"/>
  <c r="P17" i="2"/>
  <c r="O17" i="2"/>
  <c r="R16" i="2"/>
  <c r="Q16" i="2"/>
  <c r="P16" i="2"/>
  <c r="O16" i="2"/>
  <c r="R15" i="2"/>
  <c r="Q15" i="2"/>
  <c r="P15" i="2"/>
  <c r="O15" i="2"/>
  <c r="R13" i="2"/>
  <c r="Q13" i="2"/>
  <c r="P13" i="2"/>
  <c r="O13" i="2"/>
  <c r="R12" i="2"/>
  <c r="Q12" i="2"/>
  <c r="P12" i="2"/>
  <c r="O12" i="2"/>
  <c r="R11" i="2"/>
  <c r="Q11" i="2"/>
  <c r="P11" i="2"/>
  <c r="O11" i="2"/>
  <c r="R10" i="2"/>
  <c r="Q10" i="2"/>
  <c r="P10" i="2"/>
  <c r="O10" i="2"/>
  <c r="R8" i="2"/>
  <c r="Q8" i="2"/>
  <c r="P8" i="2"/>
  <c r="O8" i="2"/>
  <c r="R7" i="2"/>
  <c r="Q7" i="2"/>
  <c r="P7" i="2"/>
  <c r="O7" i="2"/>
  <c r="R6" i="2"/>
  <c r="Q6" i="2"/>
  <c r="P6" i="2"/>
  <c r="O6" i="2"/>
</calcChain>
</file>

<file path=xl/comments1.xml><?xml version="1.0" encoding="utf-8"?>
<comments xmlns="http://schemas.openxmlformats.org/spreadsheetml/2006/main">
  <authors>
    <author>lta_tansy10</author>
  </authors>
  <commentList>
    <comment ref="AE9" authorId="0" shapeId="0">
      <text>
        <r>
          <rPr>
            <b/>
            <sz val="9"/>
            <color indexed="81"/>
            <rFont val="Tahoma"/>
            <family val="2"/>
          </rPr>
          <t>lta_tansy10:</t>
        </r>
        <r>
          <rPr>
            <sz val="9"/>
            <color indexed="81"/>
            <rFont val="Tahoma"/>
            <family val="2"/>
          </rPr>
          <t xml:space="preserve">
no costing in DTL booklet</t>
        </r>
      </text>
    </comment>
  </commentList>
</comments>
</file>

<file path=xl/sharedStrings.xml><?xml version="1.0" encoding="utf-8"?>
<sst xmlns="http://schemas.openxmlformats.org/spreadsheetml/2006/main" count="496" uniqueCount="122">
  <si>
    <t>Interchange</t>
  </si>
  <si>
    <t>Typical</t>
  </si>
  <si>
    <t>-</t>
  </si>
  <si>
    <t>CD</t>
  </si>
  <si>
    <t>Tender Closing Date</t>
  </si>
  <si>
    <t>T302</t>
  </si>
  <si>
    <t>T303</t>
  </si>
  <si>
    <t>T305</t>
  </si>
  <si>
    <t>T306</t>
  </si>
  <si>
    <t>T308</t>
  </si>
  <si>
    <t>T309</t>
  </si>
  <si>
    <t>T310</t>
  </si>
  <si>
    <t>T311</t>
  </si>
  <si>
    <t>T312</t>
  </si>
  <si>
    <t>T313</t>
  </si>
  <si>
    <t>T307</t>
  </si>
  <si>
    <t>T301</t>
  </si>
  <si>
    <t xml:space="preserve"> Facility Building</t>
  </si>
  <si>
    <t xml:space="preserve"> Tanjong Rhu</t>
  </si>
  <si>
    <t>Katong Park</t>
  </si>
  <si>
    <t>Amber</t>
  </si>
  <si>
    <t xml:space="preserve"> Marine Parade</t>
  </si>
  <si>
    <t xml:space="preserve"> Marine Terrace </t>
  </si>
  <si>
    <t>Siglap</t>
  </si>
  <si>
    <t>Bayshore</t>
  </si>
  <si>
    <t>Bedok South</t>
  </si>
  <si>
    <t>Sungei Bedok</t>
  </si>
  <si>
    <t xml:space="preserve"> Xilin</t>
  </si>
  <si>
    <t>Depot</t>
  </si>
  <si>
    <t xml:space="preserve">Bored </t>
  </si>
  <si>
    <t>Bored</t>
  </si>
  <si>
    <t>TEL</t>
  </si>
  <si>
    <t>Unit Cost</t>
  </si>
  <si>
    <t>Bored Tunnel Unit Cost</t>
  </si>
  <si>
    <t>Mined Tunnel Unit Cost</t>
  </si>
  <si>
    <t>Wo Contingency</t>
  </si>
  <si>
    <t>With Contingency</t>
  </si>
  <si>
    <t>Awarded  ($/m2)</t>
  </si>
  <si>
    <t xml:space="preserve"> Avg 3  ($/m2)</t>
  </si>
  <si>
    <t>Cut&amp;Cover</t>
  </si>
  <si>
    <t>Mined</t>
  </si>
  <si>
    <t>DTL1</t>
  </si>
  <si>
    <t>C901</t>
  </si>
  <si>
    <t>Marina Bay</t>
  </si>
  <si>
    <t>BuildOnly</t>
  </si>
  <si>
    <t>Station</t>
  </si>
  <si>
    <t>Old Alluvium/Kallang Formation</t>
  </si>
  <si>
    <t>Non-CD</t>
  </si>
  <si>
    <t>C902</t>
  </si>
  <si>
    <t>Promenade</t>
  </si>
  <si>
    <t>D&amp;B</t>
  </si>
  <si>
    <t>C903</t>
  </si>
  <si>
    <t>Bugis</t>
  </si>
  <si>
    <t>21/11/2008</t>
  </si>
  <si>
    <t>C905</t>
  </si>
  <si>
    <t>Promenade and Marina Bay</t>
  </si>
  <si>
    <t>Tunnels</t>
  </si>
  <si>
    <t>C906</t>
  </si>
  <si>
    <t>Bayfront</t>
  </si>
  <si>
    <t>30/11/2007</t>
  </si>
  <si>
    <t>C907</t>
  </si>
  <si>
    <t>Landmark</t>
  </si>
  <si>
    <t>18/1/2008</t>
  </si>
  <si>
    <t>C908</t>
  </si>
  <si>
    <t>Cross Street</t>
  </si>
  <si>
    <t xml:space="preserve">Jurong/Kallang Formation </t>
  </si>
  <si>
    <t>C909</t>
  </si>
  <si>
    <t>Chinatown</t>
  </si>
  <si>
    <t>Station&amp;Tunnel</t>
  </si>
  <si>
    <t xml:space="preserve">Cut&amp;Cover </t>
  </si>
  <si>
    <t xml:space="preserve">Station </t>
  </si>
  <si>
    <t>Station Area (m2)</t>
  </si>
  <si>
    <t>Stn Ref*</t>
  </si>
  <si>
    <t>Awarded Amt (S$)</t>
  </si>
  <si>
    <t>Awarded Unit Cost ($/m2)</t>
  </si>
  <si>
    <t>Ave 3 Lowest Amt (S$)</t>
  </si>
  <si>
    <t>Ave Lowest 3 Unit Cost ($/m2)</t>
  </si>
  <si>
    <t>% Difference</t>
  </si>
  <si>
    <t>T307 Marine Parade</t>
  </si>
  <si>
    <t>T302 Facility Building</t>
  </si>
  <si>
    <t xml:space="preserve">T308 Marine Terrace </t>
  </si>
  <si>
    <t>T303 Tanjong Rhu</t>
  </si>
  <si>
    <t>T305 Katong Park</t>
  </si>
  <si>
    <t>T306 Amber</t>
  </si>
  <si>
    <t>T310 Bayshore</t>
  </si>
  <si>
    <t>T313 Xilin</t>
  </si>
  <si>
    <t>T309 Siglap</t>
  </si>
  <si>
    <t>T311 Bedok South</t>
  </si>
  <si>
    <t>T312 Sungei Bedok</t>
  </si>
  <si>
    <t>*according to time of tender closing</t>
  </si>
  <si>
    <t xml:space="preserve"> </t>
  </si>
  <si>
    <t>Station Line</t>
  </si>
  <si>
    <t>Contract No</t>
  </si>
  <si>
    <t>Stn Ref</t>
  </si>
  <si>
    <t>Tender Award Date</t>
  </si>
  <si>
    <t>BuildOnly/D&amp;B</t>
  </si>
  <si>
    <t>Contract Type</t>
  </si>
  <si>
    <t xml:space="preserve">Soil Condition </t>
  </si>
  <si>
    <t>Station Information</t>
  </si>
  <si>
    <t>Tunnel Information</t>
  </si>
  <si>
    <t>Other Information</t>
  </si>
  <si>
    <t>Station Type</t>
  </si>
  <si>
    <t>Station Details</t>
  </si>
  <si>
    <t>Station Cost Information</t>
  </si>
  <si>
    <t>Tunnel Type</t>
  </si>
  <si>
    <t xml:space="preserve">Tunnel Details </t>
  </si>
  <si>
    <t>Tunnel Cost Information</t>
  </si>
  <si>
    <t>QP(S) % of Main Civil</t>
  </si>
  <si>
    <t xml:space="preserve"> IM % of Main Civil</t>
  </si>
  <si>
    <t>Cost</t>
  </si>
  <si>
    <t>Bored Tunnel Details</t>
  </si>
  <si>
    <t>Cut&amp;Cover Details</t>
  </si>
  <si>
    <t>Mined Tunnel Details</t>
  </si>
  <si>
    <t>Bored Tunnel Cost</t>
  </si>
  <si>
    <t xml:space="preserve"> Cut&amp;Cover Tunnel Cost</t>
  </si>
  <si>
    <t>Mined Tunnel Cost</t>
  </si>
  <si>
    <t xml:space="preserve"> Depth (m)</t>
  </si>
  <si>
    <t>GFA (m2)</t>
  </si>
  <si>
    <t>Awarded  (S$)</t>
  </si>
  <si>
    <t>Avg 3 Amt (S$)</t>
  </si>
  <si>
    <t xml:space="preserve"> Tunnel  Length (STL-m)</t>
  </si>
  <si>
    <t>Cut&amp;Cover Tunnel Unit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</si>
</sst>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&quot;$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67">
    <xf numFmtId="0" fontId="0" fillId="0" borderId="0" xfId="0"/>
    <xf numFmtId="0" fontId="4" fillId="0" borderId="1" xfId="0" applyFont="1" applyFill="1" applyBorder="1" applyAlignment="1">
      <alignment horizontal="center" vertical="center"/>
    </xf>
    <xf numFmtId="3" fontId="4" fillId="0" borderId="1" xfId="0" applyNumberFormat="1" applyFont="1" applyFill="1" applyBorder="1" applyAlignment="1">
      <alignment horizontal="center" vertical="center"/>
    </xf>
    <xf numFmtId="44" fontId="4" fillId="0" borderId="1" xfId="1" applyNumberFormat="1" applyFont="1" applyFill="1" applyBorder="1" applyAlignment="1">
      <alignment horizontal="center" vertical="center"/>
    </xf>
    <xf numFmtId="0" fontId="0" fillId="0" borderId="0" xfId="0" applyFont="1"/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4" borderId="17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4" fontId="5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164" fontId="4" fillId="0" borderId="3" xfId="0" applyNumberFormat="1" applyFont="1" applyFill="1" applyBorder="1" applyAlignment="1">
      <alignment horizontal="center" vertical="center"/>
    </xf>
    <xf numFmtId="3" fontId="0" fillId="0" borderId="3" xfId="0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4" fillId="0" borderId="1" xfId="0" applyNumberFormat="1" applyFont="1" applyFill="1" applyBorder="1" applyAlignment="1">
      <alignment horizontal="center" vertical="center"/>
    </xf>
    <xf numFmtId="3" fontId="0" fillId="0" borderId="1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 wrapText="1"/>
    </xf>
    <xf numFmtId="14" fontId="5" fillId="0" borderId="24" xfId="0" applyNumberFormat="1" applyFont="1" applyFill="1" applyBorder="1" applyAlignment="1">
      <alignment horizontal="center" vertical="center" wrapText="1"/>
    </xf>
    <xf numFmtId="0" fontId="0" fillId="0" borderId="24" xfId="0" applyFont="1" applyBorder="1" applyAlignment="1">
      <alignment horizontal="center" vertical="center" wrapText="1"/>
    </xf>
    <xf numFmtId="3" fontId="4" fillId="0" borderId="24" xfId="0" applyNumberFormat="1" applyFont="1" applyFill="1" applyBorder="1" applyAlignment="1">
      <alignment horizontal="center" vertical="center"/>
    </xf>
    <xf numFmtId="164" fontId="4" fillId="0" borderId="24" xfId="0" applyNumberFormat="1" applyFont="1" applyFill="1" applyBorder="1" applyAlignment="1">
      <alignment horizontal="center" vertical="center"/>
    </xf>
    <xf numFmtId="44" fontId="4" fillId="0" borderId="24" xfId="1" applyNumberFormat="1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4" fillId="0" borderId="29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9" fontId="0" fillId="0" borderId="11" xfId="4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9" fontId="0" fillId="0" borderId="27" xfId="4" applyFont="1" applyBorder="1" applyAlignment="1">
      <alignment horizontal="center" vertical="center"/>
    </xf>
    <xf numFmtId="44" fontId="4" fillId="4" borderId="3" xfId="1" applyNumberFormat="1" applyFont="1" applyFill="1" applyBorder="1" applyAlignment="1">
      <alignment horizontal="center" vertical="center"/>
    </xf>
    <xf numFmtId="165" fontId="0" fillId="5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 wrapText="1"/>
    </xf>
    <xf numFmtId="3" fontId="3" fillId="0" borderId="1" xfId="0" applyNumberFormat="1" applyFont="1" applyFill="1" applyBorder="1" applyAlignment="1">
      <alignment horizontal="center" vertical="center" wrapText="1"/>
    </xf>
    <xf numFmtId="44" fontId="4" fillId="2" borderId="3" xfId="1" applyNumberFormat="1" applyFont="1" applyFill="1" applyBorder="1" applyAlignment="1">
      <alignment horizontal="center" vertical="center"/>
    </xf>
    <xf numFmtId="44" fontId="4" fillId="2" borderId="28" xfId="1" applyNumberFormat="1" applyFont="1" applyFill="1" applyBorder="1" applyAlignment="1">
      <alignment horizontal="center" vertical="center"/>
    </xf>
    <xf numFmtId="44" fontId="4" fillId="2" borderId="1" xfId="1" applyNumberFormat="1" applyFont="1" applyFill="1" applyBorder="1" applyAlignment="1">
      <alignment horizontal="center" vertical="center"/>
    </xf>
    <xf numFmtId="44" fontId="4" fillId="2" borderId="14" xfId="1" applyNumberFormat="1" applyFont="1" applyFill="1" applyBorder="1" applyAlignment="1">
      <alignment horizontal="center" vertical="center"/>
    </xf>
    <xf numFmtId="44" fontId="4" fillId="2" borderId="24" xfId="1" applyNumberFormat="1" applyFont="1" applyFill="1" applyBorder="1" applyAlignment="1">
      <alignment horizontal="center" vertical="center"/>
    </xf>
    <xf numFmtId="44" fontId="4" fillId="2" borderId="25" xfId="1" applyNumberFormat="1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0" fontId="0" fillId="0" borderId="0" xfId="3" applyNumberFormat="1" applyFont="1" applyAlignment="1">
      <alignment horizontal="center"/>
    </xf>
    <xf numFmtId="0" fontId="3" fillId="0" borderId="0" xfId="2"/>
    <xf numFmtId="0" fontId="8" fillId="8" borderId="4" xfId="2" applyFont="1" applyFill="1" applyBorder="1" applyAlignment="1">
      <alignment vertical="top" wrapText="1"/>
    </xf>
    <xf numFmtId="0" fontId="8" fillId="8" borderId="30" xfId="2" applyFont="1" applyFill="1" applyBorder="1" applyAlignment="1">
      <alignment horizontal="center" vertical="top" wrapText="1"/>
    </xf>
    <xf numFmtId="3" fontId="8" fillId="8" borderId="30" xfId="2" applyNumberFormat="1" applyFont="1" applyFill="1" applyBorder="1" applyAlignment="1">
      <alignment horizontal="center" vertical="top" wrapText="1"/>
    </xf>
    <xf numFmtId="10" fontId="8" fillId="8" borderId="29" xfId="3" applyNumberFormat="1" applyFont="1" applyFill="1" applyBorder="1" applyAlignment="1">
      <alignment horizontal="center" vertical="top" wrapText="1"/>
    </xf>
    <xf numFmtId="0" fontId="8" fillId="0" borderId="0" xfId="2" applyFont="1" applyAlignment="1">
      <alignment vertical="top" wrapText="1"/>
    </xf>
    <xf numFmtId="0" fontId="3" fillId="0" borderId="31" xfId="2" applyBorder="1" applyAlignment="1">
      <alignment vertical="top" wrapText="1"/>
    </xf>
    <xf numFmtId="3" fontId="3" fillId="0" borderId="0" xfId="2" applyNumberFormat="1" applyBorder="1" applyAlignment="1">
      <alignment horizontal="center" vertical="top" wrapText="1"/>
    </xf>
    <xf numFmtId="10" fontId="3" fillId="0" borderId="32" xfId="2" applyNumberFormat="1" applyBorder="1" applyAlignment="1">
      <alignment horizontal="center" vertical="top" wrapText="1"/>
    </xf>
    <xf numFmtId="15" fontId="3" fillId="0" borderId="0" xfId="2" applyNumberFormat="1" applyAlignment="1">
      <alignment vertical="top" wrapText="1"/>
    </xf>
    <xf numFmtId="0" fontId="3" fillId="0" borderId="0" xfId="2" applyAlignment="1">
      <alignment vertical="top" wrapText="1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 applyAlignment="1"/>
    <xf numFmtId="0" fontId="2" fillId="3" borderId="20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2" fillId="4" borderId="4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/>
    <xf numFmtId="0" fontId="2" fillId="3" borderId="10" xfId="0" applyFont="1" applyFill="1" applyBorder="1" applyAlignment="1"/>
    <xf numFmtId="0" fontId="2" fillId="5" borderId="2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10" borderId="34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10" borderId="6" xfId="0" applyFont="1" applyFill="1" applyBorder="1" applyAlignment="1">
      <alignment horizontal="center" vertical="center" wrapText="1"/>
    </xf>
    <xf numFmtId="0" fontId="2" fillId="10" borderId="37" xfId="0" applyFont="1" applyFill="1" applyBorder="1" applyAlignment="1">
      <alignment horizontal="center" vertical="center" wrapText="1"/>
    </xf>
    <xf numFmtId="0" fontId="2" fillId="10" borderId="46" xfId="0" applyFont="1" applyFill="1" applyBorder="1" applyAlignment="1">
      <alignment horizontal="center" vertical="center" wrapText="1"/>
    </xf>
    <xf numFmtId="0" fontId="2" fillId="10" borderId="38" xfId="0" applyFont="1" applyFill="1" applyBorder="1" applyAlignment="1">
      <alignment horizontal="center" vertical="center" wrapText="1"/>
    </xf>
    <xf numFmtId="0" fontId="2" fillId="10" borderId="40" xfId="0" applyFont="1" applyFill="1" applyBorder="1" applyAlignment="1">
      <alignment horizontal="center" vertical="center" wrapText="1"/>
    </xf>
    <xf numFmtId="0" fontId="2" fillId="10" borderId="48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2" fillId="2" borderId="48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3" borderId="3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9" borderId="5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  <xf numFmtId="0" fontId="2" fillId="9" borderId="19" xfId="0" applyFont="1" applyFill="1" applyBorder="1" applyAlignment="1">
      <alignment horizontal="center" vertical="center" wrapText="1"/>
    </xf>
    <xf numFmtId="0" fontId="2" fillId="9" borderId="33" xfId="0" applyFont="1" applyFill="1" applyBorder="1" applyAlignment="1">
      <alignment horizontal="center" vertical="center" wrapText="1"/>
    </xf>
    <xf numFmtId="0" fontId="2" fillId="9" borderId="36" xfId="0" applyFont="1" applyFill="1" applyBorder="1" applyAlignment="1">
      <alignment horizontal="center" vertical="center" wrapText="1"/>
    </xf>
    <xf numFmtId="0" fontId="2" fillId="9" borderId="47" xfId="0" applyFont="1" applyFill="1" applyBorder="1" applyAlignment="1">
      <alignment horizontal="center" vertical="center" wrapText="1"/>
    </xf>
    <xf numFmtId="0" fontId="2" fillId="9" borderId="6" xfId="0" applyFont="1" applyFill="1" applyBorder="1" applyAlignment="1">
      <alignment horizontal="center" vertical="center" wrapText="1"/>
    </xf>
    <xf numFmtId="0" fontId="2" fillId="9" borderId="37" xfId="0" applyFont="1" applyFill="1" applyBorder="1" applyAlignment="1">
      <alignment horizontal="center" vertical="center" wrapText="1"/>
    </xf>
    <xf numFmtId="0" fontId="2" fillId="9" borderId="4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0" borderId="0" xfId="2" applyFill="1" applyBorder="1" applyAlignment="1">
      <alignment vertical="top" wrapText="1"/>
    </xf>
    <xf numFmtId="0" fontId="3" fillId="0" borderId="0" xfId="2" applyAlignment="1"/>
    <xf numFmtId="0" fontId="0" fillId="0" borderId="37" xfId="0" applyFont="1" applyBorder="1" applyAlignment="1"/>
    <xf numFmtId="0" fontId="2" fillId="4" borderId="16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43" fontId="2" fillId="3" borderId="0" xfId="5" applyFont="1" applyFill="1" applyBorder="1" applyAlignment="1">
      <alignment horizontal="center" vertical="center" wrapText="1"/>
    </xf>
    <xf numFmtId="43" fontId="2" fillId="3" borderId="6" xfId="5" applyFont="1" applyFill="1" applyBorder="1" applyAlignment="1">
      <alignment horizontal="center" vertical="center" wrapText="1"/>
    </xf>
    <xf numFmtId="43" fontId="2" fillId="3" borderId="8" xfId="5" applyFont="1" applyFill="1" applyBorder="1" applyAlignment="1">
      <alignment horizontal="center" vertical="center" wrapText="1"/>
    </xf>
    <xf numFmtId="43" fontId="2" fillId="3" borderId="7" xfId="5" applyFont="1" applyFill="1" applyBorder="1" applyAlignment="1">
      <alignment horizontal="center" vertical="center" wrapText="1"/>
    </xf>
    <xf numFmtId="43" fontId="2" fillId="3" borderId="37" xfId="5" applyFont="1" applyFill="1" applyBorder="1" applyAlignment="1">
      <alignment horizontal="center" vertical="center" wrapText="1"/>
    </xf>
    <xf numFmtId="43" fontId="2" fillId="3" borderId="39" xfId="5" applyFont="1" applyFill="1" applyBorder="1" applyAlignment="1">
      <alignment horizontal="center" vertical="center" wrapText="1"/>
    </xf>
    <xf numFmtId="43" fontId="2" fillId="3" borderId="43" xfId="5" applyFont="1" applyFill="1" applyBorder="1" applyAlignment="1">
      <alignment horizontal="center" vertical="center" wrapText="1"/>
    </xf>
    <xf numFmtId="43" fontId="2" fillId="3" borderId="44" xfId="5" applyFont="1" applyFill="1" applyBorder="1" applyAlignment="1">
      <alignment horizontal="center" vertical="center" wrapText="1"/>
    </xf>
    <xf numFmtId="43" fontId="2" fillId="3" borderId="45" xfId="5" applyFont="1" applyFill="1" applyBorder="1" applyAlignment="1">
      <alignment horizontal="center" vertical="center" wrapText="1"/>
    </xf>
    <xf numFmtId="0" fontId="2" fillId="5" borderId="51" xfId="0" applyFont="1" applyFill="1" applyBorder="1" applyAlignment="1">
      <alignment horizontal="center" vertical="center" wrapText="1"/>
    </xf>
    <xf numFmtId="0" fontId="2" fillId="6" borderId="52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</cellXfs>
  <cellStyles count="6">
    <cellStyle name="Comma" xfId="5" builtinId="3"/>
    <cellStyle name="Currency" xfId="1" builtinId="4"/>
    <cellStyle name="Normal" xfId="0" builtinId="0"/>
    <cellStyle name="Normal 2" xfId="2"/>
    <cellStyle name="Percent" xfId="4" builtinId="5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 sz="2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TEL Station Unit Rates</a:t>
            </a:r>
          </a:p>
          <a:p>
            <a:pPr>
              <a:defRPr sz="2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 sz="2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(Based on Tender Return Dates)</a:t>
            </a:r>
          </a:p>
        </c:rich>
      </c:tx>
      <c:layout>
        <c:manualLayout>
          <c:xMode val="edge"/>
          <c:yMode val="edge"/>
          <c:x val="0.261710901208632"/>
          <c:y val="2.8622540250447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49294055346856"/>
          <c:y val="0.18604667413792952"/>
          <c:w val="0.84114094777327231"/>
          <c:h val="0.48169898989898979"/>
        </c:manualLayout>
      </c:layout>
      <c:lineChart>
        <c:grouping val="standard"/>
        <c:varyColors val="0"/>
        <c:ser>
          <c:idx val="1"/>
          <c:order val="0"/>
          <c:tx>
            <c:strRef>
              <c:f>'[2]Tender Cost - Stn (Graph)'!$D$51</c:f>
              <c:strCache>
                <c:ptCount val="1"/>
                <c:pt idx="0">
                  <c:v>Awarded Unit Cost ($/m2)</c:v>
                </c:pt>
              </c:strCache>
            </c:strRef>
          </c:tx>
          <c:spPr>
            <a:ln w="12700">
              <a:solidFill>
                <a:schemeClr val="accent1">
                  <a:lumMod val="50000"/>
                </a:schemeClr>
              </a:solidFill>
              <a:prstDash val="solid"/>
            </a:ln>
          </c:spPr>
          <c:marker>
            <c:symbol val="diamond"/>
            <c:size val="8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  <a:prstDash val="solid"/>
              </a:ln>
            </c:spPr>
          </c:marker>
          <c:cat>
            <c:strRef>
              <c:f>'[2]Tender Cost - Stn (Graph)'!$A$52:$A$62</c:f>
              <c:strCache>
                <c:ptCount val="11"/>
                <c:pt idx="0">
                  <c:v>T307 Marine Parade</c:v>
                </c:pt>
                <c:pt idx="1">
                  <c:v>T308 Marine Terrace </c:v>
                </c:pt>
                <c:pt idx="2">
                  <c:v>T303 Tanjong Rhu</c:v>
                </c:pt>
                <c:pt idx="3">
                  <c:v>T302 Facility Building</c:v>
                </c:pt>
                <c:pt idx="4">
                  <c:v>T305 Katong Park</c:v>
                </c:pt>
                <c:pt idx="5">
                  <c:v>T310 Bayshore</c:v>
                </c:pt>
                <c:pt idx="6">
                  <c:v>T313 Xilin</c:v>
                </c:pt>
                <c:pt idx="7">
                  <c:v>T309 Siglap</c:v>
                </c:pt>
                <c:pt idx="8">
                  <c:v>T311 Bedok South</c:v>
                </c:pt>
                <c:pt idx="9">
                  <c:v>T306 Amber</c:v>
                </c:pt>
                <c:pt idx="10">
                  <c:v>T312 Sungei Bedok</c:v>
                </c:pt>
              </c:strCache>
            </c:strRef>
          </c:cat>
          <c:val>
            <c:numRef>
              <c:f>'[2]Tender Cost - Stn (Graph)'!$D$52:$D$62</c:f>
              <c:numCache>
                <c:formatCode>General</c:formatCode>
                <c:ptCount val="11"/>
                <c:pt idx="0">
                  <c:v>8767</c:v>
                </c:pt>
                <c:pt idx="1">
                  <c:v>12458</c:v>
                </c:pt>
                <c:pt idx="2">
                  <c:v>11323</c:v>
                </c:pt>
                <c:pt idx="3">
                  <c:v>8271</c:v>
                </c:pt>
                <c:pt idx="4">
                  <c:v>8623</c:v>
                </c:pt>
                <c:pt idx="5">
                  <c:v>6338</c:v>
                </c:pt>
                <c:pt idx="6">
                  <c:v>10536</c:v>
                </c:pt>
                <c:pt idx="7">
                  <c:v>9916</c:v>
                </c:pt>
                <c:pt idx="8">
                  <c:v>6449</c:v>
                </c:pt>
                <c:pt idx="9">
                  <c:v>9146</c:v>
                </c:pt>
                <c:pt idx="10">
                  <c:v>9490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C-496C-92E1-EF4B29C3B951}"/>
            </c:ext>
          </c:extLst>
        </c:ser>
        <c:ser>
          <c:idx val="4"/>
          <c:order val="1"/>
          <c:tx>
            <c:strRef>
              <c:f>'[2]Tender Cost - Stn (Graph)'!$F$51</c:f>
              <c:strCache>
                <c:ptCount val="1"/>
                <c:pt idx="0">
                  <c:v>Ave Lowest 3 Unit Cost ($/m2)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'[2]Tender Cost - Stn (Graph)'!$A$52:$A$62</c:f>
              <c:strCache>
                <c:ptCount val="11"/>
                <c:pt idx="0">
                  <c:v>T307 Marine Parade</c:v>
                </c:pt>
                <c:pt idx="1">
                  <c:v>T308 Marine Terrace </c:v>
                </c:pt>
                <c:pt idx="2">
                  <c:v>T303 Tanjong Rhu</c:v>
                </c:pt>
                <c:pt idx="3">
                  <c:v>T302 Facility Building</c:v>
                </c:pt>
                <c:pt idx="4">
                  <c:v>T305 Katong Park</c:v>
                </c:pt>
                <c:pt idx="5">
                  <c:v>T310 Bayshore</c:v>
                </c:pt>
                <c:pt idx="6">
                  <c:v>T313 Xilin</c:v>
                </c:pt>
                <c:pt idx="7">
                  <c:v>T309 Siglap</c:v>
                </c:pt>
                <c:pt idx="8">
                  <c:v>T311 Bedok South</c:v>
                </c:pt>
                <c:pt idx="9">
                  <c:v>T306 Amber</c:v>
                </c:pt>
                <c:pt idx="10">
                  <c:v>T312 Sungei Bedok</c:v>
                </c:pt>
              </c:strCache>
            </c:strRef>
          </c:cat>
          <c:val>
            <c:numRef>
              <c:f>'[2]Tender Cost - Stn (Graph)'!$F$52:$F$62</c:f>
              <c:numCache>
                <c:formatCode>General</c:formatCode>
                <c:ptCount val="11"/>
                <c:pt idx="0">
                  <c:v>8950</c:v>
                </c:pt>
                <c:pt idx="1">
                  <c:v>11959</c:v>
                </c:pt>
                <c:pt idx="2">
                  <c:v>11992.713789132793</c:v>
                </c:pt>
                <c:pt idx="3">
                  <c:v>9459</c:v>
                </c:pt>
                <c:pt idx="4">
                  <c:v>8992.8898398445544</c:v>
                </c:pt>
                <c:pt idx="5">
                  <c:v>6549</c:v>
                </c:pt>
                <c:pt idx="6">
                  <c:v>14178</c:v>
                </c:pt>
                <c:pt idx="7">
                  <c:v>10319</c:v>
                </c:pt>
                <c:pt idx="8">
                  <c:v>8233</c:v>
                </c:pt>
                <c:pt idx="9">
                  <c:v>9897.3875910575225</c:v>
                </c:pt>
                <c:pt idx="10">
                  <c:v>9760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7C-496C-92E1-EF4B29C3B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59016"/>
        <c:axId val="148039712"/>
      </c:lineChart>
      <c:catAx>
        <c:axId val="147659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Stn/Tender Closing Date </a:t>
                </a:r>
              </a:p>
            </c:rich>
          </c:tx>
          <c:layout>
            <c:manualLayout>
              <c:xMode val="edge"/>
              <c:yMode val="edge"/>
              <c:x val="0.39103891036023752"/>
              <c:y val="0.806798604557256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039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480397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2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Unit Cost (S$/m2)</a:t>
                </a:r>
              </a:p>
            </c:rich>
          </c:tx>
          <c:layout>
            <c:manualLayout>
              <c:xMode val="edge"/>
              <c:yMode val="edge"/>
              <c:x val="2.7822222222222224E-2"/>
              <c:y val="0.238938333333333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659016"/>
        <c:crosses val="autoZero"/>
        <c:crossBetween val="between"/>
        <c:majorUnit val="2000"/>
      </c:valAx>
      <c:spPr>
        <a:solidFill>
          <a:srgbClr val="C0C0C0"/>
        </a:solidFill>
        <a:ln w="12700">
          <a:solidFill>
            <a:schemeClr val="bg2">
              <a:lumMod val="75000"/>
            </a:schemeClr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6496955701311267"/>
          <c:y val="0.91413313049643385"/>
          <c:w val="0.80040775962067878"/>
          <c:h val="7.3345259391771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8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2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19" l="0.38" r="0.26" t="0.4" header="0.18" footer="0.16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SG" sz="2400" b="1" i="0" u="none" strike="noStrike" kern="1200" cap="none" spc="2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 sz="2400" b="1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TEL Station Unit Rates</a:t>
            </a:r>
          </a:p>
          <a:p>
            <a:pPr algn="ctr" rtl="0">
              <a:defRPr lang="en-SG" sz="2400" b="1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 sz="2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 ( Awarded)</a:t>
            </a:r>
          </a:p>
        </c:rich>
      </c:tx>
      <c:layout>
        <c:manualLayout>
          <c:xMode val="edge"/>
          <c:yMode val="edge"/>
          <c:x val="0.38007966630482753"/>
          <c:y val="1.1371342549027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SG" sz="2400" b="1" i="0" u="none" strike="noStrike" kern="1200" cap="none" spc="2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60444006999126"/>
          <c:y val="0.12322411134639499"/>
          <c:w val="0.84114094777327231"/>
          <c:h val="0.60151740301391821"/>
        </c:manualLayout>
      </c:layout>
      <c:lineChart>
        <c:grouping val="standard"/>
        <c:varyColors val="0"/>
        <c:ser>
          <c:idx val="1"/>
          <c:order val="0"/>
          <c:tx>
            <c:strRef>
              <c:f>'[2]Tender Cost - Stn (Graph)'!$T$51</c:f>
              <c:strCache>
                <c:ptCount val="1"/>
                <c:pt idx="0">
                  <c:v>Awarded Unit Cost ($/m2)</c:v>
                </c:pt>
              </c:strCache>
            </c:strRef>
          </c:tx>
          <c:spPr>
            <a:ln w="28575" cap="rnd" cmpd="sng" algn="ctr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880216535433071E-2"/>
                  <c:y val="-3.7597911227154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8E-4379-A062-4B9B4848277B}"/>
                </c:ext>
              </c:extLst>
            </c:dLbl>
            <c:dLbl>
              <c:idx val="1"/>
              <c:layout>
                <c:manualLayout>
                  <c:x val="-3.956255468066492E-2"/>
                  <c:y val="-2.92428198433420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8E-4379-A062-4B9B4848277B}"/>
                </c:ext>
              </c:extLst>
            </c:dLbl>
            <c:dLbl>
              <c:idx val="2"/>
              <c:layout>
                <c:manualLayout>
                  <c:x val="-2.7114610673665843E-2"/>
                  <c:y val="-3.9686684073107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8E-4379-A062-4B9B4848277B}"/>
                </c:ext>
              </c:extLst>
            </c:dLbl>
            <c:dLbl>
              <c:idx val="3"/>
              <c:layout>
                <c:manualLayout>
                  <c:x val="-3.2670166229221351E-2"/>
                  <c:y val="-2.92428198433420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8E-4379-A062-4B9B4848277B}"/>
                </c:ext>
              </c:extLst>
            </c:dLbl>
            <c:dLbl>
              <c:idx val="4"/>
              <c:layout>
                <c:manualLayout>
                  <c:x val="-3.9614610673665791E-2"/>
                  <c:y val="-4.59530026109660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E-4379-A062-4B9B4848277B}"/>
                </c:ext>
              </c:extLst>
            </c:dLbl>
            <c:dLbl>
              <c:idx val="5"/>
              <c:layout>
                <c:manualLayout>
                  <c:x val="-3.5152777777777776E-2"/>
                  <c:y val="-1.87989556135770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E-4379-A062-4B9B4848277B}"/>
                </c:ext>
              </c:extLst>
            </c:dLbl>
            <c:dLbl>
              <c:idx val="6"/>
              <c:layout>
                <c:manualLayout>
                  <c:x val="-1.102438757655293E-2"/>
                  <c:y val="-1.87989556135770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E-4379-A062-4B9B4848277B}"/>
                </c:ext>
              </c:extLst>
            </c:dLbl>
            <c:dLbl>
              <c:idx val="7"/>
              <c:layout>
                <c:manualLayout>
                  <c:x val="-2.9254046369203951E-2"/>
                  <c:y val="-6.27797948232972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E-4379-A062-4B9B4848277B}"/>
                </c:ext>
              </c:extLst>
            </c:dLbl>
            <c:dLbl>
              <c:idx val="8"/>
              <c:layout>
                <c:manualLayout>
                  <c:x val="-4.8698490813648292E-2"/>
                  <c:y val="-3.98032935178141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8E-4379-A062-4B9B4848277B}"/>
                </c:ext>
              </c:extLst>
            </c:dLbl>
            <c:dLbl>
              <c:idx val="9"/>
              <c:layout>
                <c:manualLayout>
                  <c:x val="-4.7135498687664042E-2"/>
                  <c:y val="-2.29765013054830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8E-4379-A062-4B9B4848277B}"/>
                </c:ext>
              </c:extLst>
            </c:dLbl>
            <c:dLbl>
              <c:idx val="10"/>
              <c:layout>
                <c:manualLayout>
                  <c:x val="-3.1370297462817151E-2"/>
                  <c:y val="-2.29765013054830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8E-4379-A062-4B9B484827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ysClr val="windowText" lastClr="000000"/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'[2]Tender Cost - Stn (Graph)'!$Q$52:$Q$62</c:f>
              <c:strCache>
                <c:ptCount val="11"/>
                <c:pt idx="0">
                  <c:v>T302 Facility Building</c:v>
                </c:pt>
                <c:pt idx="1">
                  <c:v>T303 Tanjong Rhu</c:v>
                </c:pt>
                <c:pt idx="2">
                  <c:v>T305 Katong Park</c:v>
                </c:pt>
                <c:pt idx="3">
                  <c:v>T306 Amber</c:v>
                </c:pt>
                <c:pt idx="4">
                  <c:v>T307 Marine Parade</c:v>
                </c:pt>
                <c:pt idx="5">
                  <c:v>T308 Marine Terrace </c:v>
                </c:pt>
                <c:pt idx="6">
                  <c:v>T309 Siglap</c:v>
                </c:pt>
                <c:pt idx="7">
                  <c:v>T310 Bayshore</c:v>
                </c:pt>
                <c:pt idx="8">
                  <c:v>T311 Bedok South</c:v>
                </c:pt>
                <c:pt idx="9">
                  <c:v>T312 Sungei Bedok</c:v>
                </c:pt>
                <c:pt idx="10">
                  <c:v>T313 Xilin</c:v>
                </c:pt>
              </c:strCache>
            </c:strRef>
          </c:cat>
          <c:val>
            <c:numRef>
              <c:f>'[2]Tender Cost - Stn (Graph)'!$T$52:$T$62</c:f>
              <c:numCache>
                <c:formatCode>General</c:formatCode>
                <c:ptCount val="11"/>
                <c:pt idx="0">
                  <c:v>8271</c:v>
                </c:pt>
                <c:pt idx="1">
                  <c:v>11323</c:v>
                </c:pt>
                <c:pt idx="2">
                  <c:v>8623</c:v>
                </c:pt>
                <c:pt idx="3">
                  <c:v>9146</c:v>
                </c:pt>
                <c:pt idx="4">
                  <c:v>8767</c:v>
                </c:pt>
                <c:pt idx="5">
                  <c:v>12458</c:v>
                </c:pt>
                <c:pt idx="6">
                  <c:v>9916</c:v>
                </c:pt>
                <c:pt idx="7">
                  <c:v>6338</c:v>
                </c:pt>
                <c:pt idx="8">
                  <c:v>6449</c:v>
                </c:pt>
                <c:pt idx="9">
                  <c:v>9490</c:v>
                </c:pt>
                <c:pt idx="10">
                  <c:v>10536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78E-4379-A062-4B9B4848277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dropLines>
        <c:smooth val="0"/>
        <c:axId val="220792400"/>
        <c:axId val="221329752"/>
      </c:lineChart>
      <c:catAx>
        <c:axId val="22079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2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329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21329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SG" sz="2000" b="1" i="0" u="none" strike="noStrike" kern="1200" cap="non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SG" sz="2000" b="1" i="0" u="none" strike="noStrike" kern="1200" cap="non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Unit Cost (S$/m2)</a:t>
                </a:r>
              </a:p>
            </c:rich>
          </c:tx>
          <c:layout>
            <c:manualLayout>
              <c:xMode val="edge"/>
              <c:yMode val="edge"/>
              <c:x val="2.2683289588801402E-2"/>
              <c:y val="0.25527600172693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SG" sz="2000" b="1" i="0" u="none" strike="noStrike" kern="1200" cap="non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792400"/>
        <c:crosses val="autoZero"/>
        <c:crossBetween val="between"/>
        <c:majorUnit val="2000"/>
      </c:valAx>
      <c:spPr>
        <a:solidFill>
          <a:schemeClr val="bg1">
            <a:lumMod val="75000"/>
          </a:schemeClr>
        </a:solidFill>
        <a:ln>
          <a:solidFill>
            <a:schemeClr val="bg2">
              <a:lumMod val="75000"/>
            </a:schemeClr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algn="ctr" rtl="0">
              <a:defRPr lang="en-SG" sz="2000" b="1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30766106549151062"/>
          <c:y val="0.91211970351618932"/>
          <c:w val="0.38467786901697876"/>
          <c:h val="4.93066968407752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SG" sz="2000" b="1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0.19" l="0.38" r="0.26" t="0.4" header="0.18" footer="0.16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SG" sz="2400" b="1" i="0" u="none" strike="noStrike" kern="1200" cap="none" spc="2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 sz="2400" b="1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TEL Station Unit Rates</a:t>
            </a:r>
          </a:p>
          <a:p>
            <a:pPr algn="ctr" rtl="0">
              <a:defRPr lang="en-SG" sz="2400" b="1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SG" sz="2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 (Avg Lowest 3)  </a:t>
            </a:r>
          </a:p>
        </c:rich>
      </c:tx>
      <c:layout>
        <c:manualLayout>
          <c:xMode val="edge"/>
          <c:yMode val="edge"/>
          <c:x val="0.37324678596339389"/>
          <c:y val="1.4868559957319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SG" sz="2400" b="1" i="0" u="none" strike="noStrike" kern="1200" cap="none" spc="2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60444006999126"/>
          <c:y val="0.12322411134639499"/>
          <c:w val="0.84114094777327231"/>
          <c:h val="0.60151740301391821"/>
        </c:manualLayout>
      </c:layout>
      <c:lineChart>
        <c:grouping val="standard"/>
        <c:varyColors val="0"/>
        <c:ser>
          <c:idx val="1"/>
          <c:order val="0"/>
          <c:tx>
            <c:strRef>
              <c:f>'[2]Tender Cost - Stn (Graph)'!$V$51</c:f>
              <c:strCache>
                <c:ptCount val="1"/>
                <c:pt idx="0">
                  <c:v>Ave Lowest 3 Unit Cost ($/m2)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4020888013998274E-2"/>
                  <c:y val="-4.17754569190600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3-4A72-9F43-95320F17445F}"/>
                </c:ext>
              </c:extLst>
            </c:dLbl>
            <c:dLbl>
              <c:idx val="1"/>
              <c:layout>
                <c:manualLayout>
                  <c:x val="-3.8947944006999149E-2"/>
                  <c:y val="-3.13315926892950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F13-4A72-9F43-95320F17445F}"/>
                </c:ext>
              </c:extLst>
            </c:dLbl>
            <c:dLbl>
              <c:idx val="2"/>
              <c:layout>
                <c:manualLayout>
                  <c:x val="-3.1243110236220523E-2"/>
                  <c:y val="-4.8041775456919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13-4A72-9F43-95320F17445F}"/>
                </c:ext>
              </c:extLst>
            </c:dLbl>
            <c:dLbl>
              <c:idx val="3"/>
              <c:layout>
                <c:manualLayout>
                  <c:x val="-3.4020888013998302E-2"/>
                  <c:y val="-2.7154046997389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13-4A72-9F43-95320F17445F}"/>
                </c:ext>
              </c:extLst>
            </c:dLbl>
            <c:dLbl>
              <c:idx val="4"/>
              <c:layout>
                <c:manualLayout>
                  <c:x val="-3.6798665791776028E-2"/>
                  <c:y val="-5.22193211488250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13-4A72-9F43-95320F17445F}"/>
                </c:ext>
              </c:extLst>
            </c:dLbl>
            <c:dLbl>
              <c:idx val="5"/>
              <c:layout>
                <c:manualLayout>
                  <c:x val="-3.7559055118110238E-2"/>
                  <c:y val="-2.50652741514360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F13-4A72-9F43-95320F17445F}"/>
                </c:ext>
              </c:extLst>
            </c:dLbl>
            <c:dLbl>
              <c:idx val="6"/>
              <c:layout>
                <c:manualLayout>
                  <c:x val="-2.9225721784776903E-2"/>
                  <c:y val="-3.5509138381201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13-4A72-9F43-95320F17445F}"/>
                </c:ext>
              </c:extLst>
            </c:dLbl>
            <c:dLbl>
              <c:idx val="7"/>
              <c:layout>
                <c:manualLayout>
                  <c:x val="-2.290977690288714E-2"/>
                  <c:y val="-5.43080939947781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13-4A72-9F43-95320F17445F}"/>
                </c:ext>
              </c:extLst>
            </c:dLbl>
            <c:dLbl>
              <c:idx val="8"/>
              <c:layout>
                <c:manualLayout>
                  <c:x val="-3.5409776902887241E-2"/>
                  <c:y val="-2.92428198433420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13-4A72-9F43-95320F17445F}"/>
                </c:ext>
              </c:extLst>
            </c:dLbl>
            <c:dLbl>
              <c:idx val="9"/>
              <c:layout>
                <c:manualLayout>
                  <c:x val="-4.5131999125109463E-2"/>
                  <c:y val="-3.7597911227154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F13-4A72-9F43-95320F17445F}"/>
                </c:ext>
              </c:extLst>
            </c:dLbl>
            <c:dLbl>
              <c:idx val="10"/>
              <c:layout>
                <c:manualLayout>
                  <c:x val="-2.0179352580927484E-2"/>
                  <c:y val="-1.4621409921670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13-4A72-9F43-95320F1744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ysClr val="windowText" lastClr="000000"/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'[2]Tender Cost - Stn (Graph)'!$Q$52:$Q$62</c:f>
              <c:strCache>
                <c:ptCount val="11"/>
                <c:pt idx="0">
                  <c:v>T302 Facility Building</c:v>
                </c:pt>
                <c:pt idx="1">
                  <c:v>T303 Tanjong Rhu</c:v>
                </c:pt>
                <c:pt idx="2">
                  <c:v>T305 Katong Park</c:v>
                </c:pt>
                <c:pt idx="3">
                  <c:v>T306 Amber</c:v>
                </c:pt>
                <c:pt idx="4">
                  <c:v>T307 Marine Parade</c:v>
                </c:pt>
                <c:pt idx="5">
                  <c:v>T308 Marine Terrace </c:v>
                </c:pt>
                <c:pt idx="6">
                  <c:v>T309 Siglap</c:v>
                </c:pt>
                <c:pt idx="7">
                  <c:v>T310 Bayshore</c:v>
                </c:pt>
                <c:pt idx="8">
                  <c:v>T311 Bedok South</c:v>
                </c:pt>
                <c:pt idx="9">
                  <c:v>T312 Sungei Bedok</c:v>
                </c:pt>
                <c:pt idx="10">
                  <c:v>T313 Xilin</c:v>
                </c:pt>
              </c:strCache>
            </c:strRef>
          </c:cat>
          <c:val>
            <c:numRef>
              <c:f>'[2]Tender Cost - Stn (Graph)'!$V$52:$V$62</c:f>
              <c:numCache>
                <c:formatCode>General</c:formatCode>
                <c:ptCount val="11"/>
                <c:pt idx="0">
                  <c:v>9459</c:v>
                </c:pt>
                <c:pt idx="1">
                  <c:v>11992.713789132793</c:v>
                </c:pt>
                <c:pt idx="2">
                  <c:v>8992.8898398445544</c:v>
                </c:pt>
                <c:pt idx="3">
                  <c:v>9897.3875910575225</c:v>
                </c:pt>
                <c:pt idx="4">
                  <c:v>8950</c:v>
                </c:pt>
                <c:pt idx="5">
                  <c:v>11959</c:v>
                </c:pt>
                <c:pt idx="6">
                  <c:v>10319</c:v>
                </c:pt>
                <c:pt idx="7">
                  <c:v>6549</c:v>
                </c:pt>
                <c:pt idx="8">
                  <c:v>8233</c:v>
                </c:pt>
                <c:pt idx="9">
                  <c:v>9760</c:v>
                </c:pt>
                <c:pt idx="10">
                  <c:v>14178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13-4A72-9F43-95320F17445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dropLines>
        <c:smooth val="0"/>
        <c:axId val="220826968"/>
        <c:axId val="221057640"/>
      </c:lineChart>
      <c:catAx>
        <c:axId val="22082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2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576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210576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SG" sz="2000" b="1" i="0" u="none" strike="noStrike" kern="1200" cap="non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SG" sz="2000" b="1" i="0" u="none" strike="noStrike" kern="1200" cap="non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rPr>
                  <a:t>Unit Cost (S$/m2)</a:t>
                </a:r>
              </a:p>
            </c:rich>
          </c:tx>
          <c:layout>
            <c:manualLayout>
              <c:xMode val="edge"/>
              <c:yMode val="edge"/>
              <c:x val="2.2683289588801402E-2"/>
              <c:y val="0.25527600172693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SG" sz="2000" b="1" i="0" u="none" strike="noStrike" kern="1200" cap="non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826968"/>
        <c:crosses val="autoZero"/>
        <c:crossBetween val="between"/>
        <c:majorUnit val="2000"/>
      </c:valAx>
      <c:spPr>
        <a:solidFill>
          <a:schemeClr val="bg1">
            <a:lumMod val="75000"/>
          </a:schemeClr>
        </a:solidFill>
        <a:ln>
          <a:solidFill>
            <a:schemeClr val="bg2">
              <a:lumMod val="75000"/>
            </a:schemeClr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algn="ctr" rtl="0">
              <a:defRPr lang="en-SG" sz="2000" b="1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28210651219722543"/>
          <c:y val="0.90154077253574616"/>
          <c:w val="0.4477964917563006"/>
          <c:h val="4.9336189726543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SG" sz="2000" b="1" i="0" u="none" strike="noStrike" kern="1200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0.19" l="0.38" r="0.26" t="0.4" header="0.18" footer="0.16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32037</xdr:rowOff>
    </xdr:from>
    <xdr:to>
      <xdr:col>13</xdr:col>
      <xdr:colOff>668864</xdr:colOff>
      <xdr:row>41</xdr:row>
      <xdr:rowOff>79628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3031</xdr:colOff>
      <xdr:row>0</xdr:row>
      <xdr:rowOff>180974</xdr:rowOff>
    </xdr:from>
    <xdr:to>
      <xdr:col>27</xdr:col>
      <xdr:colOff>689213</xdr:colOff>
      <xdr:row>41</xdr:row>
      <xdr:rowOff>42395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766330</xdr:colOff>
      <xdr:row>1</xdr:row>
      <xdr:rowOff>72160</xdr:rowOff>
    </xdr:from>
    <xdr:to>
      <xdr:col>41</xdr:col>
      <xdr:colOff>673194</xdr:colOff>
      <xdr:row>41</xdr:row>
      <xdr:rowOff>119751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ta_tansy10\Desktop\TEL%20COST%20ANALYSIS\TEL%20Cost%20Analysi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xer_000\Desktop\Grap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Overview"/>
      <sheetName val="Contracts Detail"/>
      <sheetName val="TEL Project Info"/>
      <sheetName val="TEL Minor Contracts"/>
      <sheetName val="Material Qty"/>
      <sheetName val="Soil Profile"/>
      <sheetName val="Prelim"/>
      <sheetName val="Major Civil Contract Rates"/>
      <sheetName val="Info Analysis"/>
      <sheetName val="Tender Cost - Stn (Dp)"/>
      <sheetName val="Tender Cost - BT (Graph)"/>
      <sheetName val="Tender Cost - C&amp;C (Graph)"/>
    </sheetNames>
    <sheetDataSet>
      <sheetData sheetId="0" refreshError="1"/>
      <sheetData sheetId="1" refreshError="1"/>
      <sheetData sheetId="2" refreshError="1"/>
      <sheetData sheetId="3" refreshError="1">
        <row r="5">
          <cell r="C5">
            <v>42310</v>
          </cell>
          <cell r="D5">
            <v>42275</v>
          </cell>
          <cell r="E5">
            <v>42319</v>
          </cell>
          <cell r="F5">
            <v>42368</v>
          </cell>
          <cell r="G5">
            <v>42233</v>
          </cell>
          <cell r="H5">
            <v>42261</v>
          </cell>
          <cell r="I5">
            <v>42355</v>
          </cell>
          <cell r="J5">
            <v>42321</v>
          </cell>
          <cell r="K5">
            <v>42366</v>
          </cell>
          <cell r="L5">
            <v>42422</v>
          </cell>
          <cell r="M5">
            <v>42335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F6">
            <v>12378</v>
          </cell>
          <cell r="G6">
            <v>102376292.93486899</v>
          </cell>
          <cell r="H6">
            <v>8271</v>
          </cell>
          <cell r="L6">
            <v>117087356.01271988</v>
          </cell>
          <cell r="M6">
            <v>9459</v>
          </cell>
        </row>
        <row r="7">
          <cell r="F7">
            <v>16452</v>
          </cell>
          <cell r="G7">
            <v>186292738.53960824</v>
          </cell>
          <cell r="H7">
            <v>11323</v>
          </cell>
          <cell r="L7">
            <v>197304127.2588127</v>
          </cell>
          <cell r="M7">
            <v>11992.713789132793</v>
          </cell>
        </row>
        <row r="8">
          <cell r="F8">
            <v>20036</v>
          </cell>
          <cell r="G8">
            <v>172775277.90411091</v>
          </cell>
          <cell r="H8">
            <v>8623</v>
          </cell>
          <cell r="L8">
            <v>180181540.8311255</v>
          </cell>
          <cell r="M8">
            <v>8992.8898398445544</v>
          </cell>
        </row>
        <row r="9">
          <cell r="F9">
            <v>15924</v>
          </cell>
          <cell r="G9">
            <v>145638000</v>
          </cell>
          <cell r="H9">
            <v>9146</v>
          </cell>
          <cell r="L9">
            <v>157606000</v>
          </cell>
          <cell r="M9">
            <v>9897.3875910575225</v>
          </cell>
        </row>
        <row r="10">
          <cell r="F10">
            <v>26127</v>
          </cell>
          <cell r="G10">
            <v>229066148.64060533</v>
          </cell>
          <cell r="H10">
            <v>8767</v>
          </cell>
          <cell r="L10">
            <v>233833057.81625083</v>
          </cell>
          <cell r="M10">
            <v>8950</v>
          </cell>
        </row>
        <row r="11">
          <cell r="F11">
            <v>22748</v>
          </cell>
          <cell r="G11">
            <v>283396995.48347133</v>
          </cell>
          <cell r="H11">
            <v>12458</v>
          </cell>
          <cell r="L11">
            <v>272054298.55851465</v>
          </cell>
          <cell r="M11">
            <v>11959</v>
          </cell>
        </row>
        <row r="12">
          <cell r="F12">
            <v>17723</v>
          </cell>
          <cell r="G12">
            <v>175741589</v>
          </cell>
          <cell r="H12">
            <v>9916</v>
          </cell>
          <cell r="L12">
            <v>182886863</v>
          </cell>
          <cell r="M12">
            <v>10319</v>
          </cell>
        </row>
        <row r="13">
          <cell r="F13">
            <v>25280</v>
          </cell>
          <cell r="G13">
            <v>160234479.5380936</v>
          </cell>
          <cell r="H13">
            <v>6338</v>
          </cell>
          <cell r="L13">
            <v>165551448.08908561</v>
          </cell>
          <cell r="M13">
            <v>6549</v>
          </cell>
        </row>
        <row r="14">
          <cell r="F14">
            <v>24491</v>
          </cell>
          <cell r="G14">
            <v>157950644.17843628</v>
          </cell>
          <cell r="H14">
            <v>6449</v>
          </cell>
          <cell r="L14">
            <v>201633756.69888747</v>
          </cell>
          <cell r="M14">
            <v>8233</v>
          </cell>
        </row>
        <row r="15">
          <cell r="F15">
            <v>27093</v>
          </cell>
          <cell r="G15">
            <v>257119465.64690232</v>
          </cell>
          <cell r="H15">
            <v>9490</v>
          </cell>
          <cell r="L15">
            <v>264432444.84836659</v>
          </cell>
          <cell r="M15">
            <v>9760</v>
          </cell>
        </row>
        <row r="16">
          <cell r="F16">
            <v>19128</v>
          </cell>
          <cell r="G16">
            <v>201540466.22620308</v>
          </cell>
          <cell r="H16">
            <v>10536</v>
          </cell>
          <cell r="L16">
            <v>271192790.67155033</v>
          </cell>
          <cell r="M16">
            <v>14178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r Cost - Stn (Graph)"/>
    </sheetNames>
    <sheetDataSet>
      <sheetData sheetId="0">
        <row r="51">
          <cell r="D51" t="str">
            <v>Awarded Unit Cost ($/m2)</v>
          </cell>
          <cell r="F51" t="str">
            <v>Ave Lowest 3 Unit Cost ($/m2)</v>
          </cell>
          <cell r="T51" t="str">
            <v>Awarded Unit Cost ($/m2)</v>
          </cell>
          <cell r="V51" t="str">
            <v>Ave Lowest 3 Unit Cost ($/m2)</v>
          </cell>
        </row>
        <row r="52">
          <cell r="A52" t="str">
            <v>T307 Marine Parade</v>
          </cell>
          <cell r="D52">
            <v>8767</v>
          </cell>
          <cell r="F52">
            <v>8950</v>
          </cell>
          <cell r="Q52" t="str">
            <v>T302 Facility Building</v>
          </cell>
          <cell r="T52">
            <v>8271</v>
          </cell>
          <cell r="V52">
            <v>9459</v>
          </cell>
        </row>
        <row r="53">
          <cell r="A53" t="str">
            <v xml:space="preserve">T308 Marine Terrace </v>
          </cell>
          <cell r="D53">
            <v>12458</v>
          </cell>
          <cell r="F53">
            <v>11959</v>
          </cell>
          <cell r="Q53" t="str">
            <v>T303 Tanjong Rhu</v>
          </cell>
          <cell r="T53">
            <v>11323</v>
          </cell>
          <cell r="V53">
            <v>11992.713789132793</v>
          </cell>
        </row>
        <row r="54">
          <cell r="A54" t="str">
            <v>T303 Tanjong Rhu</v>
          </cell>
          <cell r="D54">
            <v>11323</v>
          </cell>
          <cell r="F54">
            <v>11992.713789132793</v>
          </cell>
          <cell r="Q54" t="str">
            <v>T305 Katong Park</v>
          </cell>
          <cell r="T54">
            <v>8623</v>
          </cell>
          <cell r="V54">
            <v>8992.8898398445544</v>
          </cell>
        </row>
        <row r="55">
          <cell r="A55" t="str">
            <v>T302 Facility Building</v>
          </cell>
          <cell r="D55">
            <v>8271</v>
          </cell>
          <cell r="F55">
            <v>9459</v>
          </cell>
          <cell r="Q55" t="str">
            <v>T306 Amber</v>
          </cell>
          <cell r="T55">
            <v>9146</v>
          </cell>
          <cell r="V55">
            <v>9897.3875910575225</v>
          </cell>
        </row>
        <row r="56">
          <cell r="A56" t="str">
            <v>T305 Katong Park</v>
          </cell>
          <cell r="D56">
            <v>8623</v>
          </cell>
          <cell r="F56">
            <v>8992.8898398445544</v>
          </cell>
          <cell r="Q56" t="str">
            <v>T307 Marine Parade</v>
          </cell>
          <cell r="T56">
            <v>8767</v>
          </cell>
          <cell r="V56">
            <v>8950</v>
          </cell>
        </row>
        <row r="57">
          <cell r="A57" t="str">
            <v>T310 Bayshore</v>
          </cell>
          <cell r="D57">
            <v>6338</v>
          </cell>
          <cell r="F57">
            <v>6549</v>
          </cell>
          <cell r="Q57" t="str">
            <v xml:space="preserve">T308 Marine Terrace </v>
          </cell>
          <cell r="T57">
            <v>12458</v>
          </cell>
          <cell r="V57">
            <v>11959</v>
          </cell>
        </row>
        <row r="58">
          <cell r="A58" t="str">
            <v>T313 Xilin</v>
          </cell>
          <cell r="D58">
            <v>10536</v>
          </cell>
          <cell r="F58">
            <v>14178</v>
          </cell>
          <cell r="Q58" t="str">
            <v>T309 Siglap</v>
          </cell>
          <cell r="T58">
            <v>9916</v>
          </cell>
          <cell r="V58">
            <v>10319</v>
          </cell>
        </row>
        <row r="59">
          <cell r="A59" t="str">
            <v>T309 Siglap</v>
          </cell>
          <cell r="D59">
            <v>9916</v>
          </cell>
          <cell r="F59">
            <v>10319</v>
          </cell>
          <cell r="Q59" t="str">
            <v>T310 Bayshore</v>
          </cell>
          <cell r="T59">
            <v>6338</v>
          </cell>
          <cell r="V59">
            <v>6549</v>
          </cell>
        </row>
        <row r="60">
          <cell r="A60" t="str">
            <v>T311 Bedok South</v>
          </cell>
          <cell r="D60">
            <v>6449</v>
          </cell>
          <cell r="F60">
            <v>8233</v>
          </cell>
          <cell r="Q60" t="str">
            <v>T311 Bedok South</v>
          </cell>
          <cell r="T60">
            <v>6449</v>
          </cell>
          <cell r="V60">
            <v>8233</v>
          </cell>
        </row>
        <row r="61">
          <cell r="A61" t="str">
            <v>T306 Amber</v>
          </cell>
          <cell r="D61">
            <v>9146</v>
          </cell>
          <cell r="F61">
            <v>9897.3875910575225</v>
          </cell>
          <cell r="Q61" t="str">
            <v>T312 Sungei Bedok</v>
          </cell>
          <cell r="T61">
            <v>9490</v>
          </cell>
          <cell r="V61">
            <v>9760</v>
          </cell>
        </row>
        <row r="62">
          <cell r="A62" t="str">
            <v>T312 Sungei Bedok</v>
          </cell>
          <cell r="D62">
            <v>9490</v>
          </cell>
          <cell r="F62">
            <v>9760</v>
          </cell>
          <cell r="Q62" t="str">
            <v>T313 Xilin</v>
          </cell>
          <cell r="T62">
            <v>10536</v>
          </cell>
          <cell r="V62">
            <v>14178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AX25"/>
  <sheetViews>
    <sheetView zoomScale="55" zoomScaleNormal="55" workbookViewId="0">
      <pane xSplit="2" ySplit="5" topLeftCell="C6" activePane="bottomRight" state="frozen"/>
      <selection pane="topRight" activeCell="C1" sqref="C1"/>
      <selection pane="bottomLeft" activeCell="A6" sqref="A6"/>
      <selection pane="bottomRight" sqref="A1:AR25"/>
    </sheetView>
  </sheetViews>
  <sheetFormatPr defaultColWidth="9.109375" defaultRowHeight="14.4" x14ac:dyDescent="0.3"/>
  <cols>
    <col min="1" max="1" width="41.44140625" style="4" customWidth="1"/>
    <col min="2" max="2" width="21.109375" style="4" customWidth="1"/>
    <col min="3" max="3" width="13.88671875" style="4" customWidth="1"/>
    <col min="4" max="4" width="14.44140625" style="4" customWidth="1"/>
    <col min="5" max="5" width="15.6640625" style="4" customWidth="1"/>
    <col min="6" max="6" width="21.44140625" style="4" customWidth="1"/>
    <col min="7" max="7" width="18.33203125" style="37" customWidth="1"/>
    <col min="8" max="8" width="49.44140625" style="4" customWidth="1"/>
    <col min="9" max="9" width="14.6640625" style="4" customWidth="1"/>
    <col min="10" max="10" width="11.5546875" style="4" customWidth="1"/>
    <col min="11" max="11" width="10.33203125" style="4" customWidth="1"/>
    <col min="12" max="12" width="9.88671875" style="4" customWidth="1"/>
    <col min="13" max="13" width="14.88671875" style="4" customWidth="1"/>
    <col min="14" max="14" width="20.6640625" style="4" customWidth="1"/>
    <col min="15" max="15" width="26.88671875" style="4" customWidth="1"/>
    <col min="16" max="16" width="14.88671875" style="4" customWidth="1"/>
    <col min="17" max="17" width="35.5546875" style="4" customWidth="1"/>
    <col min="18" max="18" width="15.77734375" style="4" customWidth="1"/>
    <col min="19" max="19" width="17.109375" style="4" hidden="1" customWidth="1"/>
    <col min="20" max="20" width="14.33203125" style="4" hidden="1" customWidth="1"/>
    <col min="21" max="21" width="10.6640625" style="4" hidden="1" customWidth="1"/>
    <col min="22" max="22" width="21" style="4" hidden="1" customWidth="1"/>
    <col min="23" max="23" width="16.33203125" style="4" hidden="1" customWidth="1"/>
    <col min="24" max="24" width="17.5546875" style="4" hidden="1" customWidth="1"/>
    <col min="25" max="25" width="25.5546875" style="4" hidden="1" customWidth="1"/>
    <col min="26" max="26" width="17" style="4" hidden="1" customWidth="1"/>
    <col min="27" max="27" width="14.88671875" style="4" hidden="1" customWidth="1"/>
    <col min="28" max="28" width="13.5546875" style="4" hidden="1" customWidth="1"/>
    <col min="29" max="29" width="14.44140625" style="4" hidden="1" customWidth="1"/>
    <col min="30" max="30" width="13.5546875" style="4" hidden="1" customWidth="1"/>
    <col min="31" max="31" width="19.109375" style="4" hidden="1" customWidth="1"/>
    <col min="32" max="32" width="21.109375" style="4" hidden="1" customWidth="1"/>
    <col min="33" max="33" width="18.109375" style="4" hidden="1" customWidth="1"/>
    <col min="34" max="34" width="15.44140625" style="4" hidden="1" customWidth="1"/>
    <col min="35" max="35" width="18.109375" style="4" hidden="1" customWidth="1"/>
    <col min="36" max="36" width="19.109375" style="4" hidden="1" customWidth="1"/>
    <col min="37" max="37" width="15.33203125" style="4" hidden="1" customWidth="1"/>
    <col min="38" max="38" width="13.33203125" style="4" hidden="1" customWidth="1"/>
    <col min="39" max="39" width="20" style="4" hidden="1" customWidth="1"/>
    <col min="40" max="40" width="18.109375" style="4" hidden="1" customWidth="1"/>
    <col min="41" max="41" width="12.5546875" style="4" hidden="1" customWidth="1"/>
    <col min="42" max="42" width="23.21875" style="4" hidden="1" customWidth="1"/>
    <col min="43" max="43" width="24.33203125" style="4" customWidth="1"/>
    <col min="44" max="44" width="14.109375" style="4" bestFit="1" customWidth="1"/>
    <col min="45" max="46" width="9.109375" style="4"/>
    <col min="47" max="47" width="15.33203125" style="4" customWidth="1"/>
    <col min="48" max="48" width="14.88671875" style="4" customWidth="1"/>
    <col min="49" max="49" width="16.33203125" style="4" bestFit="1" customWidth="1"/>
    <col min="50" max="50" width="13.6640625" style="4" customWidth="1"/>
    <col min="51" max="51" width="12.5546875" style="4" customWidth="1"/>
    <col min="52" max="52" width="10" style="4" customWidth="1"/>
    <col min="53" max="53" width="12.5546875" style="4" customWidth="1"/>
    <col min="54" max="54" width="10" style="4" customWidth="1"/>
    <col min="55" max="55" width="12.5546875" style="4" customWidth="1"/>
    <col min="56" max="56" width="10" style="4" customWidth="1"/>
    <col min="57" max="57" width="12.5546875" style="4" customWidth="1"/>
    <col min="58" max="58" width="10" style="4" customWidth="1"/>
    <col min="59" max="59" width="12.5546875" style="4" customWidth="1"/>
    <col min="60" max="60" width="10" style="4" customWidth="1"/>
    <col min="61" max="61" width="12.5546875" style="4" customWidth="1"/>
    <col min="62" max="62" width="10" style="4" customWidth="1"/>
    <col min="63" max="16384" width="9.109375" style="4"/>
  </cols>
  <sheetData>
    <row r="1" spans="1:50" ht="40.049999999999997" customHeight="1" thickBot="1" x14ac:dyDescent="0.35">
      <c r="A1" s="120" t="s">
        <v>91</v>
      </c>
      <c r="B1" s="123" t="s">
        <v>92</v>
      </c>
      <c r="C1" s="123" t="s">
        <v>93</v>
      </c>
      <c r="D1" s="123" t="s">
        <v>4</v>
      </c>
      <c r="E1" s="123" t="s">
        <v>94</v>
      </c>
      <c r="F1" s="123" t="s">
        <v>95</v>
      </c>
      <c r="G1" s="123" t="s">
        <v>96</v>
      </c>
      <c r="H1" s="126" t="s">
        <v>97</v>
      </c>
      <c r="I1" s="129" t="s">
        <v>98</v>
      </c>
      <c r="J1" s="130"/>
      <c r="K1" s="130"/>
      <c r="L1" s="130"/>
      <c r="M1" s="130"/>
      <c r="N1" s="130"/>
      <c r="O1" s="130"/>
      <c r="P1" s="130"/>
      <c r="Q1" s="130"/>
      <c r="R1" s="131"/>
      <c r="S1" s="85" t="s">
        <v>99</v>
      </c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7"/>
      <c r="AQ1" s="83" t="s">
        <v>100</v>
      </c>
      <c r="AR1" s="84"/>
      <c r="AS1" s="138"/>
      <c r="AT1" s="73"/>
      <c r="AU1" s="73"/>
      <c r="AV1" s="73"/>
      <c r="AW1" s="73"/>
      <c r="AX1" s="73"/>
    </row>
    <row r="2" spans="1:50" ht="34.950000000000003" customHeight="1" thickBot="1" x14ac:dyDescent="0.35">
      <c r="A2" s="121"/>
      <c r="B2" s="124"/>
      <c r="C2" s="124"/>
      <c r="D2" s="124"/>
      <c r="E2" s="124"/>
      <c r="F2" s="124"/>
      <c r="G2" s="124"/>
      <c r="H2" s="127"/>
      <c r="I2" s="96" t="s">
        <v>101</v>
      </c>
      <c r="J2" s="99" t="s">
        <v>102</v>
      </c>
      <c r="K2" s="100"/>
      <c r="L2" s="101"/>
      <c r="M2" s="108" t="s">
        <v>103</v>
      </c>
      <c r="N2" s="109"/>
      <c r="O2" s="109"/>
      <c r="P2" s="109"/>
      <c r="Q2" s="109"/>
      <c r="R2" s="110"/>
      <c r="S2" s="143" t="s">
        <v>104</v>
      </c>
      <c r="T2" s="144"/>
      <c r="U2" s="145"/>
      <c r="V2" s="111" t="s">
        <v>105</v>
      </c>
      <c r="W2" s="112"/>
      <c r="X2" s="113"/>
      <c r="Y2" s="85" t="s">
        <v>106</v>
      </c>
      <c r="Z2" s="86"/>
      <c r="AA2" s="86"/>
      <c r="AB2" s="86"/>
      <c r="AC2" s="86"/>
      <c r="AD2" s="86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9"/>
      <c r="AQ2" s="88" t="s">
        <v>107</v>
      </c>
      <c r="AR2" s="91" t="s">
        <v>108</v>
      </c>
      <c r="AS2" s="138"/>
      <c r="AT2" s="73"/>
      <c r="AU2" s="73"/>
      <c r="AV2" s="73"/>
      <c r="AW2" s="73"/>
      <c r="AX2" s="73"/>
    </row>
    <row r="3" spans="1:50" ht="34.950000000000003" customHeight="1" x14ac:dyDescent="0.3">
      <c r="A3" s="121"/>
      <c r="B3" s="124"/>
      <c r="C3" s="124"/>
      <c r="D3" s="124"/>
      <c r="E3" s="124"/>
      <c r="F3" s="124"/>
      <c r="G3" s="124"/>
      <c r="H3" s="127"/>
      <c r="I3" s="97"/>
      <c r="J3" s="102"/>
      <c r="K3" s="103"/>
      <c r="L3" s="104"/>
      <c r="M3" s="114" t="s">
        <v>109</v>
      </c>
      <c r="N3" s="115"/>
      <c r="O3" s="116" t="s">
        <v>32</v>
      </c>
      <c r="P3" s="116"/>
      <c r="Q3" s="116"/>
      <c r="R3" s="117"/>
      <c r="S3" s="146"/>
      <c r="T3" s="142"/>
      <c r="U3" s="147"/>
      <c r="V3" s="140" t="s">
        <v>110</v>
      </c>
      <c r="W3" s="151" t="s">
        <v>111</v>
      </c>
      <c r="X3" s="152" t="s">
        <v>112</v>
      </c>
      <c r="Y3" s="94" t="s">
        <v>113</v>
      </c>
      <c r="Z3" s="139"/>
      <c r="AA3" s="94" t="s">
        <v>33</v>
      </c>
      <c r="AB3" s="95"/>
      <c r="AC3" s="95"/>
      <c r="AD3" s="139"/>
      <c r="AE3" s="134" t="s">
        <v>114</v>
      </c>
      <c r="AF3" s="153"/>
      <c r="AG3" s="134" t="s">
        <v>121</v>
      </c>
      <c r="AH3" s="135"/>
      <c r="AI3" s="135"/>
      <c r="AJ3" s="153"/>
      <c r="AK3" s="132" t="s">
        <v>115</v>
      </c>
      <c r="AL3" s="154"/>
      <c r="AM3" s="132" t="s">
        <v>34</v>
      </c>
      <c r="AN3" s="133"/>
      <c r="AO3" s="133"/>
      <c r="AP3" s="154"/>
      <c r="AQ3" s="89"/>
      <c r="AR3" s="92"/>
      <c r="AS3" s="138"/>
      <c r="AT3" s="73"/>
      <c r="AU3" s="73"/>
      <c r="AV3" s="73"/>
      <c r="AW3" s="73"/>
      <c r="AX3" s="73"/>
    </row>
    <row r="4" spans="1:50" ht="34.950000000000003" customHeight="1" thickBot="1" x14ac:dyDescent="0.35">
      <c r="A4" s="121"/>
      <c r="B4" s="124"/>
      <c r="C4" s="124"/>
      <c r="D4" s="124"/>
      <c r="E4" s="124"/>
      <c r="F4" s="124"/>
      <c r="G4" s="124"/>
      <c r="H4" s="127"/>
      <c r="I4" s="97"/>
      <c r="J4" s="105"/>
      <c r="K4" s="106"/>
      <c r="L4" s="107"/>
      <c r="M4" s="105"/>
      <c r="N4" s="106"/>
      <c r="O4" s="116" t="s">
        <v>35</v>
      </c>
      <c r="P4" s="116"/>
      <c r="Q4" s="116" t="s">
        <v>36</v>
      </c>
      <c r="R4" s="117"/>
      <c r="S4" s="148"/>
      <c r="T4" s="149"/>
      <c r="U4" s="150"/>
      <c r="V4" s="141"/>
      <c r="W4" s="118"/>
      <c r="X4" s="119"/>
      <c r="Y4" s="155" t="s">
        <v>35</v>
      </c>
      <c r="Z4" s="156"/>
      <c r="AA4" s="155" t="s">
        <v>35</v>
      </c>
      <c r="AB4" s="157"/>
      <c r="AC4" s="158" t="s">
        <v>36</v>
      </c>
      <c r="AD4" s="156"/>
      <c r="AE4" s="159" t="s">
        <v>35</v>
      </c>
      <c r="AF4" s="160"/>
      <c r="AG4" s="159" t="s">
        <v>35</v>
      </c>
      <c r="AH4" s="161"/>
      <c r="AI4" s="162" t="s">
        <v>36</v>
      </c>
      <c r="AJ4" s="160"/>
      <c r="AK4" s="163" t="s">
        <v>35</v>
      </c>
      <c r="AL4" s="164"/>
      <c r="AM4" s="163" t="s">
        <v>35</v>
      </c>
      <c r="AN4" s="165"/>
      <c r="AO4" s="166" t="s">
        <v>36</v>
      </c>
      <c r="AP4" s="164"/>
      <c r="AQ4" s="89"/>
      <c r="AR4" s="92"/>
      <c r="AS4" s="138"/>
      <c r="AT4" s="73"/>
      <c r="AU4" s="73"/>
      <c r="AV4" s="73"/>
      <c r="AW4" s="73"/>
      <c r="AX4" s="73"/>
    </row>
    <row r="5" spans="1:50" ht="56.4" customHeight="1" thickBot="1" x14ac:dyDescent="0.35">
      <c r="A5" s="122"/>
      <c r="B5" s="125"/>
      <c r="C5" s="125"/>
      <c r="D5" s="125"/>
      <c r="E5" s="125"/>
      <c r="F5" s="125"/>
      <c r="G5" s="125"/>
      <c r="H5" s="128"/>
      <c r="I5" s="98"/>
      <c r="J5" s="5"/>
      <c r="K5" s="6" t="s">
        <v>116</v>
      </c>
      <c r="L5" s="7" t="s">
        <v>117</v>
      </c>
      <c r="M5" s="5" t="s">
        <v>118</v>
      </c>
      <c r="N5" s="6" t="s">
        <v>119</v>
      </c>
      <c r="O5" s="6" t="s">
        <v>37</v>
      </c>
      <c r="P5" s="6" t="s">
        <v>38</v>
      </c>
      <c r="Q5" s="6" t="s">
        <v>37</v>
      </c>
      <c r="R5" s="7" t="s">
        <v>38</v>
      </c>
      <c r="S5" s="74" t="s">
        <v>30</v>
      </c>
      <c r="T5" s="75" t="s">
        <v>39</v>
      </c>
      <c r="U5" s="76" t="s">
        <v>40</v>
      </c>
      <c r="V5" s="77" t="s">
        <v>120</v>
      </c>
      <c r="W5" s="80" t="s">
        <v>120</v>
      </c>
      <c r="X5" s="82" t="s">
        <v>120</v>
      </c>
      <c r="Y5" s="8" t="s">
        <v>37</v>
      </c>
      <c r="Z5" s="9" t="s">
        <v>38</v>
      </c>
      <c r="AA5" s="8" t="s">
        <v>37</v>
      </c>
      <c r="AB5" s="9" t="s">
        <v>38</v>
      </c>
      <c r="AC5" s="9" t="s">
        <v>37</v>
      </c>
      <c r="AD5" s="10" t="s">
        <v>38</v>
      </c>
      <c r="AE5" s="11" t="s">
        <v>37</v>
      </c>
      <c r="AF5" s="81" t="s">
        <v>38</v>
      </c>
      <c r="AG5" s="11" t="s">
        <v>37</v>
      </c>
      <c r="AH5" s="81" t="s">
        <v>38</v>
      </c>
      <c r="AI5" s="81" t="s">
        <v>37</v>
      </c>
      <c r="AJ5" s="12" t="s">
        <v>38</v>
      </c>
      <c r="AK5" s="13" t="s">
        <v>37</v>
      </c>
      <c r="AL5" s="14" t="s">
        <v>38</v>
      </c>
      <c r="AM5" s="13" t="s">
        <v>37</v>
      </c>
      <c r="AN5" s="14" t="s">
        <v>38</v>
      </c>
      <c r="AO5" s="14" t="s">
        <v>37</v>
      </c>
      <c r="AP5" s="82" t="s">
        <v>38</v>
      </c>
      <c r="AQ5" s="90"/>
      <c r="AR5" s="93"/>
      <c r="AS5" s="138"/>
      <c r="AT5" s="73"/>
      <c r="AU5" s="73"/>
      <c r="AV5" s="73"/>
      <c r="AW5" s="73"/>
      <c r="AX5" s="73"/>
    </row>
    <row r="6" spans="1:50" s="23" customFormat="1" ht="34.950000000000003" customHeight="1" x14ac:dyDescent="0.3">
      <c r="A6" s="15" t="s">
        <v>41</v>
      </c>
      <c r="B6" s="1" t="s">
        <v>42</v>
      </c>
      <c r="C6" s="16" t="s">
        <v>43</v>
      </c>
      <c r="D6" s="17">
        <v>39428</v>
      </c>
      <c r="E6" s="17">
        <v>39498</v>
      </c>
      <c r="F6" s="72" t="s">
        <v>44</v>
      </c>
      <c r="G6" s="72" t="s">
        <v>45</v>
      </c>
      <c r="H6" s="38" t="s">
        <v>46</v>
      </c>
      <c r="I6" s="42" t="s">
        <v>0</v>
      </c>
      <c r="J6" s="1" t="s">
        <v>47</v>
      </c>
      <c r="K6" s="1">
        <v>17</v>
      </c>
      <c r="L6" s="2">
        <v>17000</v>
      </c>
      <c r="M6" s="19">
        <v>204710500</v>
      </c>
      <c r="N6" s="20">
        <v>193883050</v>
      </c>
      <c r="O6" s="52">
        <f>+M6/L6</f>
        <v>12041.794117647059</v>
      </c>
      <c r="P6" s="52">
        <f>+N6/L6</f>
        <v>11404.885294117646</v>
      </c>
      <c r="Q6" s="52">
        <f>+M6*1.05/L6</f>
        <v>12643.883823529412</v>
      </c>
      <c r="R6" s="53">
        <f>+N6*1.05/L6</f>
        <v>11975.12955882353</v>
      </c>
      <c r="S6" s="40" t="s">
        <v>2</v>
      </c>
      <c r="T6" s="1" t="s">
        <v>39</v>
      </c>
      <c r="U6" s="1" t="s">
        <v>2</v>
      </c>
      <c r="V6" s="21"/>
      <c r="W6" s="50">
        <v>1116</v>
      </c>
      <c r="X6" s="21"/>
      <c r="Y6" s="19"/>
      <c r="Z6" s="20"/>
      <c r="AA6" s="47" t="e">
        <f>+Y6/$V6</f>
        <v>#DIV/0!</v>
      </c>
      <c r="AB6" s="47" t="e">
        <f>+Z6/$V6</f>
        <v>#DIV/0!</v>
      </c>
      <c r="AC6" s="47" t="e">
        <f>+Y6*1.05/$V6</f>
        <v>#DIV/0!</v>
      </c>
      <c r="AD6" s="47" t="e">
        <f>+Z6*1.05/$V6</f>
        <v>#DIV/0!</v>
      </c>
      <c r="AE6" s="19">
        <v>120737000</v>
      </c>
      <c r="AF6" s="20">
        <v>128991250</v>
      </c>
      <c r="AG6" s="48">
        <f>+$AE6/$W6</f>
        <v>108187.27598566309</v>
      </c>
      <c r="AH6" s="48">
        <f>+$AF6/$W6</f>
        <v>115583.55734767026</v>
      </c>
      <c r="AI6" s="48">
        <f>+$AE6*1.05/$W6</f>
        <v>113596.63978494624</v>
      </c>
      <c r="AJ6" s="48">
        <f>+$AF6*1.05/$W6</f>
        <v>121362.73521505376</v>
      </c>
      <c r="AK6" s="19"/>
      <c r="AL6" s="20"/>
      <c r="AM6" s="49" t="e">
        <f>+$AK6/$X6</f>
        <v>#DIV/0!</v>
      </c>
      <c r="AN6" s="49" t="e">
        <f>+$AL6/$X6</f>
        <v>#DIV/0!</v>
      </c>
      <c r="AO6" s="49" t="e">
        <f>+$AK6*1.05/$X6</f>
        <v>#DIV/0!</v>
      </c>
      <c r="AP6" s="49" t="e">
        <f>+$AL6*1.05/$X6</f>
        <v>#DIV/0!</v>
      </c>
      <c r="AQ6" s="44">
        <v>0.02</v>
      </c>
      <c r="AR6" s="45"/>
    </row>
    <row r="7" spans="1:50" s="23" customFormat="1" ht="34.950000000000003" customHeight="1" x14ac:dyDescent="0.3">
      <c r="A7" s="15" t="s">
        <v>41</v>
      </c>
      <c r="B7" s="1" t="s">
        <v>48</v>
      </c>
      <c r="C7" s="16" t="s">
        <v>49</v>
      </c>
      <c r="D7" s="17">
        <v>39583</v>
      </c>
      <c r="E7" s="17">
        <v>39607</v>
      </c>
      <c r="F7" s="18" t="s">
        <v>50</v>
      </c>
      <c r="G7" s="18" t="s">
        <v>68</v>
      </c>
      <c r="H7" s="38" t="s">
        <v>46</v>
      </c>
      <c r="I7" s="42" t="s">
        <v>0</v>
      </c>
      <c r="J7" s="1" t="s">
        <v>47</v>
      </c>
      <c r="K7" s="1">
        <v>43</v>
      </c>
      <c r="L7" s="2">
        <v>13600</v>
      </c>
      <c r="M7" s="24">
        <v>137504800</v>
      </c>
      <c r="N7" s="25">
        <v>174335016.16666669</v>
      </c>
      <c r="O7" s="54">
        <f t="shared" ref="O7:O25" si="0">+M7/L7</f>
        <v>10110.64705882353</v>
      </c>
      <c r="P7" s="54">
        <f t="shared" ref="P7:P25" si="1">+N7/L7</f>
        <v>12818.751188725491</v>
      </c>
      <c r="Q7" s="54">
        <f t="shared" ref="Q7:Q25" si="2">+M7*1.05/L7</f>
        <v>10616.179411764706</v>
      </c>
      <c r="R7" s="55">
        <f t="shared" ref="R7:R25" si="3">+N7*1.05/L7</f>
        <v>13459.688748161767</v>
      </c>
      <c r="S7" s="40" t="s">
        <v>30</v>
      </c>
      <c r="T7" s="1" t="s">
        <v>2</v>
      </c>
      <c r="U7" s="1" t="s">
        <v>2</v>
      </c>
      <c r="V7" s="1">
        <f>600*2</f>
        <v>1200</v>
      </c>
      <c r="W7" s="1"/>
      <c r="X7" s="1"/>
      <c r="Y7" s="24">
        <v>90506609.000000015</v>
      </c>
      <c r="Z7" s="25">
        <v>90507008.166666672</v>
      </c>
      <c r="AA7" s="47">
        <f t="shared" ref="AA7:AA25" si="4">+Y7/$V7</f>
        <v>75422.174166666679</v>
      </c>
      <c r="AB7" s="47">
        <f t="shared" ref="AB7:AB25" si="5">+Z7/$V7</f>
        <v>75422.50680555556</v>
      </c>
      <c r="AC7" s="47">
        <f t="shared" ref="AC7:AC25" si="6">+Y7*1.05/$V7</f>
        <v>79193.282875000019</v>
      </c>
      <c r="AD7" s="47">
        <f t="shared" ref="AD7:AD25" si="7">+Z7*1.05/$V7</f>
        <v>79193.63214583334</v>
      </c>
      <c r="AE7" s="24">
        <v>0</v>
      </c>
      <c r="AF7" s="25">
        <v>0</v>
      </c>
      <c r="AG7" s="48" t="e">
        <f t="shared" ref="AG7:AG25" si="8">+$AE7/$W7</f>
        <v>#DIV/0!</v>
      </c>
      <c r="AH7" s="48" t="e">
        <f t="shared" ref="AH7:AH25" si="9">+$AF7/$W7</f>
        <v>#DIV/0!</v>
      </c>
      <c r="AI7" s="48" t="e">
        <f t="shared" ref="AI7:AI25" si="10">+$AE7*1.05/$W7</f>
        <v>#DIV/0!</v>
      </c>
      <c r="AJ7" s="48" t="e">
        <f t="shared" ref="AJ7:AJ25" si="11">+$AF7*1.05/$W7</f>
        <v>#DIV/0!</v>
      </c>
      <c r="AK7" s="24"/>
      <c r="AL7" s="25"/>
      <c r="AM7" s="49" t="e">
        <f t="shared" ref="AM7:AM25" si="12">+$AK7/$X7</f>
        <v>#DIV/0!</v>
      </c>
      <c r="AN7" s="49" t="e">
        <f t="shared" ref="AN7:AN25" si="13">+$AL7/$X7</f>
        <v>#DIV/0!</v>
      </c>
      <c r="AO7" s="49" t="e">
        <f t="shared" ref="AO7:AO25" si="14">+$AK7*1.05/$X7</f>
        <v>#DIV/0!</v>
      </c>
      <c r="AP7" s="49" t="e">
        <f t="shared" ref="AP7:AP25" si="15">+$AL7*1.05/$X7</f>
        <v>#DIV/0!</v>
      </c>
      <c r="AQ7" s="46">
        <v>0.02</v>
      </c>
      <c r="AR7" s="26"/>
    </row>
    <row r="8" spans="1:50" s="23" customFormat="1" ht="34.950000000000003" customHeight="1" x14ac:dyDescent="0.3">
      <c r="A8" s="15" t="s">
        <v>41</v>
      </c>
      <c r="B8" s="1" t="s">
        <v>51</v>
      </c>
      <c r="C8" s="16" t="s">
        <v>52</v>
      </c>
      <c r="D8" s="17">
        <v>39736</v>
      </c>
      <c r="E8" s="17" t="s">
        <v>53</v>
      </c>
      <c r="F8" s="18" t="s">
        <v>44</v>
      </c>
      <c r="G8" s="18" t="s">
        <v>45</v>
      </c>
      <c r="H8" s="38" t="s">
        <v>46</v>
      </c>
      <c r="I8" s="42" t="s">
        <v>0</v>
      </c>
      <c r="J8" s="1" t="s">
        <v>47</v>
      </c>
      <c r="K8" s="1">
        <v>28</v>
      </c>
      <c r="L8" s="2">
        <v>18805</v>
      </c>
      <c r="M8" s="24">
        <v>279762087.87</v>
      </c>
      <c r="N8" s="25">
        <v>365174418.76000005</v>
      </c>
      <c r="O8" s="54">
        <f t="shared" si="0"/>
        <v>14877.00547035363</v>
      </c>
      <c r="P8" s="54">
        <f t="shared" si="1"/>
        <v>19419.006581228401</v>
      </c>
      <c r="Q8" s="54">
        <f t="shared" si="2"/>
        <v>15620.855743871312</v>
      </c>
      <c r="R8" s="55">
        <f t="shared" si="3"/>
        <v>20389.95691028982</v>
      </c>
      <c r="S8" s="40" t="s">
        <v>2</v>
      </c>
      <c r="T8" s="1" t="s">
        <v>39</v>
      </c>
      <c r="U8" s="1" t="s">
        <v>40</v>
      </c>
      <c r="V8" s="1"/>
      <c r="W8" s="50">
        <v>716</v>
      </c>
      <c r="X8" s="1">
        <v>360</v>
      </c>
      <c r="Y8" s="24"/>
      <c r="Z8" s="25"/>
      <c r="AA8" s="47" t="e">
        <f t="shared" si="4"/>
        <v>#DIV/0!</v>
      </c>
      <c r="AB8" s="47" t="e">
        <f t="shared" si="5"/>
        <v>#DIV/0!</v>
      </c>
      <c r="AC8" s="47" t="e">
        <f t="shared" si="6"/>
        <v>#DIV/0!</v>
      </c>
      <c r="AD8" s="47" t="e">
        <f t="shared" si="7"/>
        <v>#DIV/0!</v>
      </c>
      <c r="AE8" s="24">
        <v>202561512.33000004</v>
      </c>
      <c r="AF8" s="25">
        <v>206499454.11666667</v>
      </c>
      <c r="AG8" s="48">
        <f t="shared" si="8"/>
        <v>282907.14012569841</v>
      </c>
      <c r="AH8" s="48">
        <f t="shared" si="9"/>
        <v>288407.05882216018</v>
      </c>
      <c r="AI8" s="48">
        <f t="shared" si="10"/>
        <v>297052.49713198334</v>
      </c>
      <c r="AJ8" s="48">
        <f t="shared" si="11"/>
        <v>302827.41176326817</v>
      </c>
      <c r="AK8" s="24">
        <v>86051638.289999992</v>
      </c>
      <c r="AL8" s="25">
        <v>87538322.766666681</v>
      </c>
      <c r="AM8" s="59">
        <f t="shared" si="12"/>
        <v>239032.32858333332</v>
      </c>
      <c r="AN8" s="59">
        <f t="shared" si="13"/>
        <v>243162.00768518524</v>
      </c>
      <c r="AO8" s="59">
        <f t="shared" si="14"/>
        <v>250983.94501249999</v>
      </c>
      <c r="AP8" s="59">
        <f t="shared" si="15"/>
        <v>255320.10806944448</v>
      </c>
      <c r="AQ8" s="46">
        <v>0.03</v>
      </c>
      <c r="AR8" s="26"/>
    </row>
    <row r="9" spans="1:50" s="23" customFormat="1" ht="34.950000000000003" hidden="1" customHeight="1" x14ac:dyDescent="0.3">
      <c r="A9" s="15" t="s">
        <v>41</v>
      </c>
      <c r="B9" s="1" t="s">
        <v>54</v>
      </c>
      <c r="C9" s="16" t="s">
        <v>55</v>
      </c>
      <c r="D9" s="17">
        <v>39202</v>
      </c>
      <c r="E9" s="17">
        <v>39295</v>
      </c>
      <c r="F9" s="18" t="s">
        <v>50</v>
      </c>
      <c r="G9" s="18" t="s">
        <v>56</v>
      </c>
      <c r="H9" s="38" t="s">
        <v>46</v>
      </c>
      <c r="I9" s="1"/>
      <c r="J9" s="1" t="s">
        <v>2</v>
      </c>
      <c r="K9" s="1"/>
      <c r="L9" s="2"/>
      <c r="M9" s="24">
        <v>0</v>
      </c>
      <c r="N9" s="25">
        <v>0</v>
      </c>
      <c r="O9" s="54"/>
      <c r="P9" s="54"/>
      <c r="Q9" s="54"/>
      <c r="R9" s="55"/>
      <c r="S9" s="40" t="s">
        <v>30</v>
      </c>
      <c r="T9" s="1" t="s">
        <v>69</v>
      </c>
      <c r="U9" s="1" t="s">
        <v>40</v>
      </c>
      <c r="V9" s="1">
        <f>1160*2</f>
        <v>2320</v>
      </c>
      <c r="W9" s="50">
        <v>184</v>
      </c>
      <c r="X9" s="1">
        <v>78</v>
      </c>
      <c r="Y9" s="24">
        <v>85871440.200000018</v>
      </c>
      <c r="Z9" s="25">
        <v>87924226.169999987</v>
      </c>
      <c r="AA9" s="47">
        <f t="shared" si="4"/>
        <v>37013.551810344834</v>
      </c>
      <c r="AB9" s="47">
        <f t="shared" si="5"/>
        <v>37898.373349137924</v>
      </c>
      <c r="AC9" s="47">
        <f t="shared" si="6"/>
        <v>38864.229400862081</v>
      </c>
      <c r="AD9" s="47">
        <f t="shared" si="7"/>
        <v>39793.292016594824</v>
      </c>
      <c r="AE9" s="24">
        <v>0</v>
      </c>
      <c r="AF9" s="25">
        <v>16441612.844999999</v>
      </c>
      <c r="AG9" s="48">
        <f t="shared" si="8"/>
        <v>0</v>
      </c>
      <c r="AH9" s="48">
        <f t="shared" si="9"/>
        <v>89356.591548913042</v>
      </c>
      <c r="AI9" s="48">
        <f t="shared" si="10"/>
        <v>0</v>
      </c>
      <c r="AJ9" s="48">
        <f t="shared" si="11"/>
        <v>93824.421126358691</v>
      </c>
      <c r="AK9" s="24">
        <v>2555468.96</v>
      </c>
      <c r="AL9" s="25">
        <v>2756218.1833333331</v>
      </c>
      <c r="AM9" s="59">
        <f t="shared" si="12"/>
        <v>32762.422564102562</v>
      </c>
      <c r="AN9" s="59">
        <f t="shared" si="13"/>
        <v>35336.130555555552</v>
      </c>
      <c r="AO9" s="59">
        <f t="shared" si="14"/>
        <v>34400.5436923077</v>
      </c>
      <c r="AP9" s="59">
        <f t="shared" si="15"/>
        <v>37102.937083333331</v>
      </c>
      <c r="AQ9" s="46">
        <v>0.04</v>
      </c>
      <c r="AR9" s="26"/>
    </row>
    <row r="10" spans="1:50" s="23" customFormat="1" ht="34.950000000000003" customHeight="1" x14ac:dyDescent="0.3">
      <c r="A10" s="15" t="s">
        <v>41</v>
      </c>
      <c r="B10" s="1" t="s">
        <v>57</v>
      </c>
      <c r="C10" s="16" t="s">
        <v>58</v>
      </c>
      <c r="D10" s="17">
        <v>39365</v>
      </c>
      <c r="E10" s="17" t="s">
        <v>59</v>
      </c>
      <c r="F10" s="18" t="s">
        <v>44</v>
      </c>
      <c r="G10" s="18" t="s">
        <v>45</v>
      </c>
      <c r="H10" s="38" t="s">
        <v>46</v>
      </c>
      <c r="I10" s="42" t="s">
        <v>1</v>
      </c>
      <c r="J10" s="1" t="s">
        <v>47</v>
      </c>
      <c r="K10" s="1">
        <v>25</v>
      </c>
      <c r="L10" s="2">
        <v>24900</v>
      </c>
      <c r="M10" s="24">
        <v>216372792.01000002</v>
      </c>
      <c r="N10" s="25">
        <v>218272514.79000002</v>
      </c>
      <c r="O10" s="54">
        <f t="shared" si="0"/>
        <v>8689.6703618473912</v>
      </c>
      <c r="P10" s="54">
        <f t="shared" si="1"/>
        <v>8765.964449397592</v>
      </c>
      <c r="Q10" s="54">
        <f t="shared" si="2"/>
        <v>9124.1538799397604</v>
      </c>
      <c r="R10" s="55">
        <f t="shared" si="3"/>
        <v>9204.262671867471</v>
      </c>
      <c r="S10" s="40" t="s">
        <v>2</v>
      </c>
      <c r="T10" s="1" t="s">
        <v>39</v>
      </c>
      <c r="U10" s="1" t="s">
        <v>2</v>
      </c>
      <c r="V10" s="1"/>
      <c r="W10" s="50">
        <v>1566</v>
      </c>
      <c r="X10" s="1"/>
      <c r="Y10" s="24"/>
      <c r="Z10" s="25"/>
      <c r="AA10" s="47" t="e">
        <f t="shared" si="4"/>
        <v>#DIV/0!</v>
      </c>
      <c r="AB10" s="47" t="e">
        <f t="shared" si="5"/>
        <v>#DIV/0!</v>
      </c>
      <c r="AC10" s="47" t="e">
        <f t="shared" si="6"/>
        <v>#DIV/0!</v>
      </c>
      <c r="AD10" s="47" t="e">
        <f t="shared" si="7"/>
        <v>#DIV/0!</v>
      </c>
      <c r="AE10" s="24">
        <v>246627207.98999998</v>
      </c>
      <c r="AF10" s="25">
        <v>272294151.87666667</v>
      </c>
      <c r="AG10" s="48">
        <f t="shared" si="8"/>
        <v>157488.63856321838</v>
      </c>
      <c r="AH10" s="48">
        <f t="shared" si="9"/>
        <v>173878.76875904639</v>
      </c>
      <c r="AI10" s="48">
        <f t="shared" si="10"/>
        <v>165363.0704913793</v>
      </c>
      <c r="AJ10" s="48">
        <f t="shared" si="11"/>
        <v>182572.70719699873</v>
      </c>
      <c r="AK10" s="24"/>
      <c r="AL10" s="25"/>
      <c r="AM10" s="59" t="e">
        <f t="shared" si="12"/>
        <v>#DIV/0!</v>
      </c>
      <c r="AN10" s="59" t="e">
        <f t="shared" si="13"/>
        <v>#DIV/0!</v>
      </c>
      <c r="AO10" s="59" t="e">
        <f t="shared" si="14"/>
        <v>#DIV/0!</v>
      </c>
      <c r="AP10" s="59" t="e">
        <f t="shared" si="15"/>
        <v>#DIV/0!</v>
      </c>
      <c r="AQ10" s="46">
        <v>2.5000000000000001E-2</v>
      </c>
      <c r="AR10" s="26"/>
    </row>
    <row r="11" spans="1:50" s="23" customFormat="1" ht="42.6" customHeight="1" x14ac:dyDescent="0.3">
      <c r="A11" s="15" t="s">
        <v>41</v>
      </c>
      <c r="B11" s="1" t="s">
        <v>60</v>
      </c>
      <c r="C11" s="16" t="s">
        <v>61</v>
      </c>
      <c r="D11" s="17">
        <v>39392</v>
      </c>
      <c r="E11" s="17" t="s">
        <v>62</v>
      </c>
      <c r="F11" s="18" t="s">
        <v>44</v>
      </c>
      <c r="G11" s="18" t="s">
        <v>45</v>
      </c>
      <c r="H11" s="38" t="s">
        <v>46</v>
      </c>
      <c r="I11" s="42" t="s">
        <v>1</v>
      </c>
      <c r="J11" s="1" t="s">
        <v>47</v>
      </c>
      <c r="K11" s="1">
        <v>21</v>
      </c>
      <c r="L11" s="2">
        <v>13500</v>
      </c>
      <c r="M11" s="24">
        <v>84106526.639999986</v>
      </c>
      <c r="N11" s="25">
        <v>99209122.829999983</v>
      </c>
      <c r="O11" s="54">
        <f t="shared" si="0"/>
        <v>6230.1130844444433</v>
      </c>
      <c r="P11" s="54">
        <f t="shared" si="1"/>
        <v>7348.8239133333318</v>
      </c>
      <c r="Q11" s="54">
        <f t="shared" si="2"/>
        <v>6541.6187386666661</v>
      </c>
      <c r="R11" s="55">
        <f t="shared" si="3"/>
        <v>7716.2651089999981</v>
      </c>
      <c r="S11" s="40"/>
      <c r="T11" s="1" t="s">
        <v>39</v>
      </c>
      <c r="U11" s="1" t="s">
        <v>2</v>
      </c>
      <c r="V11" s="1"/>
      <c r="W11" s="50">
        <v>1047</v>
      </c>
      <c r="X11" s="1"/>
      <c r="Y11" s="24"/>
      <c r="Z11" s="25"/>
      <c r="AA11" s="47" t="e">
        <f t="shared" si="4"/>
        <v>#DIV/0!</v>
      </c>
      <c r="AB11" s="47" t="e">
        <f t="shared" si="5"/>
        <v>#DIV/0!</v>
      </c>
      <c r="AC11" s="47" t="e">
        <f t="shared" si="6"/>
        <v>#DIV/0!</v>
      </c>
      <c r="AD11" s="47" t="e">
        <f t="shared" si="7"/>
        <v>#DIV/0!</v>
      </c>
      <c r="AE11" s="24">
        <v>136710203.35999998</v>
      </c>
      <c r="AF11" s="25">
        <v>158808973.45333332</v>
      </c>
      <c r="AG11" s="48">
        <f t="shared" si="8"/>
        <v>130573.26013371536</v>
      </c>
      <c r="AH11" s="48">
        <f t="shared" si="9"/>
        <v>151680.012849411</v>
      </c>
      <c r="AI11" s="48">
        <f t="shared" si="10"/>
        <v>137101.92314040114</v>
      </c>
      <c r="AJ11" s="48">
        <f t="shared" si="11"/>
        <v>159264.01349188155</v>
      </c>
      <c r="AK11" s="24"/>
      <c r="AL11" s="25"/>
      <c r="AM11" s="59" t="e">
        <f t="shared" si="12"/>
        <v>#DIV/0!</v>
      </c>
      <c r="AN11" s="59" t="e">
        <f t="shared" si="13"/>
        <v>#DIV/0!</v>
      </c>
      <c r="AO11" s="59" t="e">
        <f t="shared" si="14"/>
        <v>#DIV/0!</v>
      </c>
      <c r="AP11" s="59" t="e">
        <f t="shared" si="15"/>
        <v>#DIV/0!</v>
      </c>
      <c r="AQ11" s="46">
        <v>0.02</v>
      </c>
      <c r="AR11" s="26"/>
    </row>
    <row r="12" spans="1:50" s="23" customFormat="1" ht="34.950000000000003" customHeight="1" x14ac:dyDescent="0.3">
      <c r="A12" s="15" t="s">
        <v>41</v>
      </c>
      <c r="B12" s="1" t="s">
        <v>63</v>
      </c>
      <c r="C12" s="16" t="s">
        <v>64</v>
      </c>
      <c r="D12" s="17">
        <v>39177</v>
      </c>
      <c r="E12" s="17">
        <v>39090</v>
      </c>
      <c r="F12" s="18" t="s">
        <v>50</v>
      </c>
      <c r="G12" s="18" t="s">
        <v>45</v>
      </c>
      <c r="H12" s="38" t="s">
        <v>65</v>
      </c>
      <c r="I12" s="42" t="s">
        <v>1</v>
      </c>
      <c r="J12" s="1" t="s">
        <v>47</v>
      </c>
      <c r="K12" s="1">
        <v>15</v>
      </c>
      <c r="L12" s="2">
        <v>13640</v>
      </c>
      <c r="M12" s="24">
        <v>130186206</v>
      </c>
      <c r="N12" s="25">
        <v>132264375</v>
      </c>
      <c r="O12" s="54">
        <f t="shared" si="0"/>
        <v>9544.4432551319642</v>
      </c>
      <c r="P12" s="54">
        <f t="shared" si="1"/>
        <v>9696.801686217008</v>
      </c>
      <c r="Q12" s="54">
        <f t="shared" si="2"/>
        <v>10021.665417888564</v>
      </c>
      <c r="R12" s="55">
        <f t="shared" si="3"/>
        <v>10181.64177052786</v>
      </c>
      <c r="S12" s="40"/>
      <c r="T12" s="1" t="s">
        <v>39</v>
      </c>
      <c r="U12" s="1" t="s">
        <v>2</v>
      </c>
      <c r="V12" s="1"/>
      <c r="W12" s="50">
        <v>588</v>
      </c>
      <c r="X12" s="1"/>
      <c r="Y12" s="24"/>
      <c r="Z12" s="25"/>
      <c r="AA12" s="47" t="e">
        <f t="shared" si="4"/>
        <v>#DIV/0!</v>
      </c>
      <c r="AB12" s="47" t="e">
        <f t="shared" si="5"/>
        <v>#DIV/0!</v>
      </c>
      <c r="AC12" s="47" t="e">
        <f t="shared" si="6"/>
        <v>#DIV/0!</v>
      </c>
      <c r="AD12" s="47" t="e">
        <f t="shared" si="7"/>
        <v>#DIV/0!</v>
      </c>
      <c r="AE12" s="24">
        <v>94749794</v>
      </c>
      <c r="AF12" s="25">
        <v>100361608</v>
      </c>
      <c r="AG12" s="48">
        <f t="shared" si="8"/>
        <v>161139.10544217686</v>
      </c>
      <c r="AH12" s="48">
        <f t="shared" si="9"/>
        <v>170683.00680272109</v>
      </c>
      <c r="AI12" s="48">
        <f t="shared" si="10"/>
        <v>169196.06071428573</v>
      </c>
      <c r="AJ12" s="48">
        <f t="shared" si="11"/>
        <v>179217.15714285715</v>
      </c>
      <c r="AK12" s="24"/>
      <c r="AL12" s="25"/>
      <c r="AM12" s="59" t="e">
        <f t="shared" si="12"/>
        <v>#DIV/0!</v>
      </c>
      <c r="AN12" s="59" t="e">
        <f t="shared" si="13"/>
        <v>#DIV/0!</v>
      </c>
      <c r="AO12" s="59" t="e">
        <f t="shared" si="14"/>
        <v>#DIV/0!</v>
      </c>
      <c r="AP12" s="59" t="e">
        <f t="shared" si="15"/>
        <v>#DIV/0!</v>
      </c>
      <c r="AQ12" s="46">
        <v>0.02</v>
      </c>
      <c r="AR12" s="26"/>
    </row>
    <row r="13" spans="1:50" s="23" customFormat="1" ht="34.950000000000003" customHeight="1" x14ac:dyDescent="0.3">
      <c r="A13" s="15" t="s">
        <v>41</v>
      </c>
      <c r="B13" s="1" t="s">
        <v>66</v>
      </c>
      <c r="C13" s="16" t="s">
        <v>67</v>
      </c>
      <c r="D13" s="17">
        <v>39198</v>
      </c>
      <c r="E13" s="17">
        <v>39090</v>
      </c>
      <c r="F13" s="18" t="s">
        <v>50</v>
      </c>
      <c r="G13" s="18" t="s">
        <v>45</v>
      </c>
      <c r="H13" s="38" t="s">
        <v>65</v>
      </c>
      <c r="I13" s="42" t="s">
        <v>0</v>
      </c>
      <c r="J13" s="1" t="s">
        <v>47</v>
      </c>
      <c r="K13" s="1">
        <v>16</v>
      </c>
      <c r="L13" s="2">
        <v>15582</v>
      </c>
      <c r="M13" s="24">
        <v>121384989.99999999</v>
      </c>
      <c r="N13" s="25">
        <v>116230475</v>
      </c>
      <c r="O13" s="54">
        <f t="shared" si="0"/>
        <v>7790.0776537029897</v>
      </c>
      <c r="P13" s="54">
        <f t="shared" si="1"/>
        <v>7459.2783339750995</v>
      </c>
      <c r="Q13" s="54">
        <f t="shared" si="2"/>
        <v>8179.5815363881393</v>
      </c>
      <c r="R13" s="55">
        <f t="shared" si="3"/>
        <v>7832.2422506738549</v>
      </c>
      <c r="S13" s="40" t="s">
        <v>2</v>
      </c>
      <c r="T13" s="1" t="s">
        <v>39</v>
      </c>
      <c r="U13" s="1" t="s">
        <v>2</v>
      </c>
      <c r="V13" s="1"/>
      <c r="W13" s="51">
        <v>711</v>
      </c>
      <c r="X13" s="1"/>
      <c r="Y13" s="24"/>
      <c r="Z13" s="25"/>
      <c r="AA13" s="47" t="e">
        <f t="shared" si="4"/>
        <v>#DIV/0!</v>
      </c>
      <c r="AB13" s="47" t="e">
        <f t="shared" si="5"/>
        <v>#DIV/0!</v>
      </c>
      <c r="AC13" s="47" t="e">
        <f t="shared" si="6"/>
        <v>#DIV/0!</v>
      </c>
      <c r="AD13" s="47" t="e">
        <f t="shared" si="7"/>
        <v>#DIV/0!</v>
      </c>
      <c r="AE13" s="24"/>
      <c r="AF13" s="25">
        <v>42484132.999999993</v>
      </c>
      <c r="AG13" s="48">
        <f t="shared" si="8"/>
        <v>0</v>
      </c>
      <c r="AH13" s="48">
        <f t="shared" si="9"/>
        <v>59752.648382559768</v>
      </c>
      <c r="AI13" s="48">
        <f t="shared" si="10"/>
        <v>0</v>
      </c>
      <c r="AJ13" s="48">
        <f t="shared" si="11"/>
        <v>62740.280801687753</v>
      </c>
      <c r="AK13" s="24"/>
      <c r="AL13" s="25"/>
      <c r="AM13" s="59" t="e">
        <f t="shared" si="12"/>
        <v>#DIV/0!</v>
      </c>
      <c r="AN13" s="59" t="e">
        <f t="shared" si="13"/>
        <v>#DIV/0!</v>
      </c>
      <c r="AO13" s="59" t="e">
        <f t="shared" si="14"/>
        <v>#DIV/0!</v>
      </c>
      <c r="AP13" s="59" t="e">
        <f t="shared" si="15"/>
        <v>#DIV/0!</v>
      </c>
      <c r="AQ13" s="46">
        <v>0.02</v>
      </c>
      <c r="AR13" s="26"/>
    </row>
    <row r="14" spans="1:50" s="23" customFormat="1" ht="34.950000000000003" hidden="1" customHeight="1" x14ac:dyDescent="0.3">
      <c r="A14" s="15" t="s">
        <v>31</v>
      </c>
      <c r="B14" s="1" t="s">
        <v>16</v>
      </c>
      <c r="C14" s="16" t="s">
        <v>28</v>
      </c>
      <c r="D14" s="16" t="s">
        <v>2</v>
      </c>
      <c r="E14" s="16"/>
      <c r="F14" s="18" t="s">
        <v>44</v>
      </c>
      <c r="G14" s="18" t="s">
        <v>28</v>
      </c>
      <c r="H14" s="38" t="s">
        <v>46</v>
      </c>
      <c r="I14" s="42" t="s">
        <v>28</v>
      </c>
      <c r="J14" s="1" t="s">
        <v>2</v>
      </c>
      <c r="K14" s="1" t="s">
        <v>2</v>
      </c>
      <c r="L14" s="2" t="s">
        <v>2</v>
      </c>
      <c r="M14" s="24" t="s">
        <v>2</v>
      </c>
      <c r="N14" s="3"/>
      <c r="O14" s="54"/>
      <c r="P14" s="54"/>
      <c r="Q14" s="54"/>
      <c r="R14" s="55"/>
      <c r="S14" s="40" t="s">
        <v>2</v>
      </c>
      <c r="T14" s="1"/>
      <c r="U14" s="1"/>
      <c r="V14" s="1"/>
      <c r="W14" s="1">
        <v>560</v>
      </c>
      <c r="X14" s="1"/>
      <c r="Y14" s="24" t="s">
        <v>2</v>
      </c>
      <c r="Z14" s="3"/>
      <c r="AA14" s="47" t="e">
        <f t="shared" si="4"/>
        <v>#VALUE!</v>
      </c>
      <c r="AB14" s="47" t="e">
        <f t="shared" si="5"/>
        <v>#DIV/0!</v>
      </c>
      <c r="AC14" s="47" t="e">
        <f t="shared" si="6"/>
        <v>#VALUE!</v>
      </c>
      <c r="AD14" s="47" t="e">
        <f t="shared" si="7"/>
        <v>#DIV/0!</v>
      </c>
      <c r="AE14" s="24"/>
      <c r="AF14" s="3"/>
      <c r="AG14" s="58">
        <f t="shared" si="8"/>
        <v>0</v>
      </c>
      <c r="AH14" s="58">
        <f t="shared" si="9"/>
        <v>0</v>
      </c>
      <c r="AI14" s="58">
        <f t="shared" si="10"/>
        <v>0</v>
      </c>
      <c r="AJ14" s="58">
        <f t="shared" si="11"/>
        <v>0</v>
      </c>
      <c r="AK14" s="24"/>
      <c r="AL14" s="3"/>
      <c r="AM14" s="59" t="e">
        <f t="shared" si="12"/>
        <v>#DIV/0!</v>
      </c>
      <c r="AN14" s="59" t="e">
        <f t="shared" si="13"/>
        <v>#DIV/0!</v>
      </c>
      <c r="AO14" s="59" t="e">
        <f t="shared" si="14"/>
        <v>#DIV/0!</v>
      </c>
      <c r="AP14" s="59" t="e">
        <f t="shared" si="15"/>
        <v>#DIV/0!</v>
      </c>
      <c r="AQ14" s="46"/>
      <c r="AR14" s="26"/>
    </row>
    <row r="15" spans="1:50" s="23" customFormat="1" ht="34.950000000000003" customHeight="1" x14ac:dyDescent="0.3">
      <c r="A15" s="15" t="s">
        <v>31</v>
      </c>
      <c r="B15" s="1" t="s">
        <v>5</v>
      </c>
      <c r="C15" s="16" t="s">
        <v>17</v>
      </c>
      <c r="D15" s="17">
        <v>42310</v>
      </c>
      <c r="E15" s="16"/>
      <c r="F15" s="18" t="s">
        <v>44</v>
      </c>
      <c r="G15" s="18" t="s">
        <v>68</v>
      </c>
      <c r="H15" s="38" t="s">
        <v>46</v>
      </c>
      <c r="I15" s="42" t="s">
        <v>1</v>
      </c>
      <c r="J15" s="1" t="s">
        <v>3</v>
      </c>
      <c r="K15" s="1">
        <v>20</v>
      </c>
      <c r="L15" s="2">
        <v>12378</v>
      </c>
      <c r="M15" s="24">
        <v>102376292.93486899</v>
      </c>
      <c r="N15" s="3">
        <v>436346</v>
      </c>
      <c r="O15" s="54">
        <f t="shared" si="0"/>
        <v>8270.8267034148485</v>
      </c>
      <c r="P15" s="54">
        <f t="shared" si="1"/>
        <v>35.251736952657943</v>
      </c>
      <c r="Q15" s="54">
        <f t="shared" si="2"/>
        <v>8684.3680385855914</v>
      </c>
      <c r="R15" s="55">
        <f t="shared" si="3"/>
        <v>37.014323800290839</v>
      </c>
      <c r="S15" s="40" t="s">
        <v>29</v>
      </c>
      <c r="T15" s="1"/>
      <c r="U15" s="1"/>
      <c r="V15" s="21">
        <v>2975</v>
      </c>
      <c r="W15" s="21">
        <v>2975</v>
      </c>
      <c r="X15" s="21"/>
      <c r="Y15" s="24">
        <v>102376292.93486899</v>
      </c>
      <c r="Z15" s="3">
        <v>436346</v>
      </c>
      <c r="AA15" s="47">
        <f t="shared" si="4"/>
        <v>34412.199305838316</v>
      </c>
      <c r="AB15" s="47">
        <f t="shared" si="5"/>
        <v>146.67092436974789</v>
      </c>
      <c r="AC15" s="47">
        <f t="shared" si="6"/>
        <v>36132.809271130238</v>
      </c>
      <c r="AD15" s="47">
        <f t="shared" si="7"/>
        <v>154.00447058823531</v>
      </c>
      <c r="AE15" s="24"/>
      <c r="AF15" s="3"/>
      <c r="AG15" s="58">
        <f t="shared" si="8"/>
        <v>0</v>
      </c>
      <c r="AH15" s="58">
        <f t="shared" si="9"/>
        <v>0</v>
      </c>
      <c r="AI15" s="58">
        <f t="shared" si="10"/>
        <v>0</v>
      </c>
      <c r="AJ15" s="58">
        <f t="shared" si="11"/>
        <v>0</v>
      </c>
      <c r="AK15" s="24"/>
      <c r="AL15" s="3"/>
      <c r="AM15" s="59" t="e">
        <f t="shared" si="12"/>
        <v>#DIV/0!</v>
      </c>
      <c r="AN15" s="59" t="e">
        <f t="shared" si="13"/>
        <v>#DIV/0!</v>
      </c>
      <c r="AO15" s="59" t="e">
        <f t="shared" si="14"/>
        <v>#DIV/0!</v>
      </c>
      <c r="AP15" s="59" t="e">
        <f t="shared" si="15"/>
        <v>#DIV/0!</v>
      </c>
      <c r="AQ15" s="46"/>
      <c r="AR15" s="26"/>
    </row>
    <row r="16" spans="1:50" s="23" customFormat="1" ht="34.950000000000003" customHeight="1" x14ac:dyDescent="0.3">
      <c r="A16" s="15" t="s">
        <v>31</v>
      </c>
      <c r="B16" s="1" t="s">
        <v>6</v>
      </c>
      <c r="C16" s="16" t="s">
        <v>18</v>
      </c>
      <c r="D16" s="17">
        <v>42275</v>
      </c>
      <c r="E16" s="16"/>
      <c r="F16" s="18" t="s">
        <v>44</v>
      </c>
      <c r="G16" s="18" t="s">
        <v>68</v>
      </c>
      <c r="H16" s="38" t="s">
        <v>46</v>
      </c>
      <c r="I16" s="42" t="s">
        <v>1</v>
      </c>
      <c r="J16" s="1" t="s">
        <v>3</v>
      </c>
      <c r="K16" s="1">
        <v>17</v>
      </c>
      <c r="L16" s="2">
        <v>16452</v>
      </c>
      <c r="M16" s="24">
        <v>186292738.53960824</v>
      </c>
      <c r="N16" s="3">
        <v>323524</v>
      </c>
      <c r="O16" s="54">
        <f t="shared" si="0"/>
        <v>11323.409830999772</v>
      </c>
      <c r="P16" s="54">
        <f t="shared" si="1"/>
        <v>19.664721614393386</v>
      </c>
      <c r="Q16" s="54">
        <f t="shared" si="2"/>
        <v>11889.58032254976</v>
      </c>
      <c r="R16" s="55">
        <f t="shared" si="3"/>
        <v>20.647957695113057</v>
      </c>
      <c r="S16" s="40" t="s">
        <v>2</v>
      </c>
      <c r="T16" s="1" t="s">
        <v>69</v>
      </c>
      <c r="U16" s="1"/>
      <c r="V16" s="1"/>
      <c r="W16" s="1">
        <v>1533</v>
      </c>
      <c r="X16" s="1"/>
      <c r="Y16" s="24"/>
      <c r="Z16" s="3"/>
      <c r="AA16" s="47" t="e">
        <f t="shared" si="4"/>
        <v>#DIV/0!</v>
      </c>
      <c r="AB16" s="47" t="e">
        <f t="shared" si="5"/>
        <v>#DIV/0!</v>
      </c>
      <c r="AC16" s="47" t="e">
        <f t="shared" si="6"/>
        <v>#DIV/0!</v>
      </c>
      <c r="AD16" s="47" t="e">
        <f t="shared" si="7"/>
        <v>#DIV/0!</v>
      </c>
      <c r="AE16" s="24"/>
      <c r="AF16" s="3"/>
      <c r="AG16" s="58">
        <f t="shared" si="8"/>
        <v>0</v>
      </c>
      <c r="AH16" s="58">
        <f t="shared" si="9"/>
        <v>0</v>
      </c>
      <c r="AI16" s="58">
        <f t="shared" si="10"/>
        <v>0</v>
      </c>
      <c r="AJ16" s="58">
        <f t="shared" si="11"/>
        <v>0</v>
      </c>
      <c r="AK16" s="24"/>
      <c r="AL16" s="3"/>
      <c r="AM16" s="59" t="e">
        <f t="shared" si="12"/>
        <v>#DIV/0!</v>
      </c>
      <c r="AN16" s="59" t="e">
        <f t="shared" si="13"/>
        <v>#DIV/0!</v>
      </c>
      <c r="AO16" s="59" t="e">
        <f t="shared" si="14"/>
        <v>#DIV/0!</v>
      </c>
      <c r="AP16" s="59" t="e">
        <f t="shared" si="15"/>
        <v>#DIV/0!</v>
      </c>
      <c r="AQ16" s="46"/>
      <c r="AR16" s="26"/>
    </row>
    <row r="17" spans="1:44" s="23" customFormat="1" ht="34.950000000000003" customHeight="1" x14ac:dyDescent="0.3">
      <c r="A17" s="15" t="s">
        <v>31</v>
      </c>
      <c r="B17" s="1" t="s">
        <v>7</v>
      </c>
      <c r="C17" s="16" t="s">
        <v>19</v>
      </c>
      <c r="D17" s="17">
        <v>42319</v>
      </c>
      <c r="E17" s="16"/>
      <c r="F17" s="18" t="s">
        <v>44</v>
      </c>
      <c r="G17" s="18" t="s">
        <v>68</v>
      </c>
      <c r="H17" s="38" t="s">
        <v>46</v>
      </c>
      <c r="I17" s="42" t="s">
        <v>1</v>
      </c>
      <c r="J17" s="1" t="s">
        <v>3</v>
      </c>
      <c r="K17" s="1">
        <v>29</v>
      </c>
      <c r="L17" s="2">
        <v>20036</v>
      </c>
      <c r="M17" s="24">
        <v>172775277.90411091</v>
      </c>
      <c r="N17" s="3" t="s">
        <v>90</v>
      </c>
      <c r="O17" s="54">
        <f t="shared" si="0"/>
        <v>8623.2420594984487</v>
      </c>
      <c r="P17" s="54" t="e">
        <f t="shared" si="1"/>
        <v>#VALUE!</v>
      </c>
      <c r="Q17" s="54">
        <f t="shared" si="2"/>
        <v>9054.4041624733709</v>
      </c>
      <c r="R17" s="55" t="e">
        <f t="shared" si="3"/>
        <v>#VALUE!</v>
      </c>
      <c r="S17" s="40" t="s">
        <v>30</v>
      </c>
      <c r="T17" s="1"/>
      <c r="U17" s="1"/>
      <c r="V17" s="1">
        <v>3958</v>
      </c>
      <c r="W17" s="1"/>
      <c r="X17" s="1"/>
      <c r="Y17" s="24">
        <v>172775277.90411091</v>
      </c>
      <c r="Z17" s="3">
        <v>353553</v>
      </c>
      <c r="AA17" s="47">
        <f t="shared" si="4"/>
        <v>43652.167231963344</v>
      </c>
      <c r="AB17" s="47">
        <f t="shared" si="5"/>
        <v>89.326174835775646</v>
      </c>
      <c r="AC17" s="47">
        <f t="shared" si="6"/>
        <v>45834.775593561513</v>
      </c>
      <c r="AD17" s="47">
        <f t="shared" si="7"/>
        <v>93.792483577564425</v>
      </c>
      <c r="AE17" s="24"/>
      <c r="AF17" s="3"/>
      <c r="AG17" s="58" t="e">
        <f t="shared" si="8"/>
        <v>#DIV/0!</v>
      </c>
      <c r="AH17" s="58" t="e">
        <f t="shared" si="9"/>
        <v>#DIV/0!</v>
      </c>
      <c r="AI17" s="58" t="e">
        <f t="shared" si="10"/>
        <v>#DIV/0!</v>
      </c>
      <c r="AJ17" s="58" t="e">
        <f t="shared" si="11"/>
        <v>#DIV/0!</v>
      </c>
      <c r="AK17" s="24"/>
      <c r="AL17" s="3"/>
      <c r="AM17" s="59" t="e">
        <f t="shared" si="12"/>
        <v>#DIV/0!</v>
      </c>
      <c r="AN17" s="59" t="e">
        <f t="shared" si="13"/>
        <v>#DIV/0!</v>
      </c>
      <c r="AO17" s="59" t="e">
        <f t="shared" si="14"/>
        <v>#DIV/0!</v>
      </c>
      <c r="AP17" s="59" t="e">
        <f t="shared" si="15"/>
        <v>#DIV/0!</v>
      </c>
      <c r="AQ17" s="46"/>
      <c r="AR17" s="26"/>
    </row>
    <row r="18" spans="1:44" s="23" customFormat="1" ht="34.950000000000003" customHeight="1" x14ac:dyDescent="0.3">
      <c r="A18" s="15" t="s">
        <v>31</v>
      </c>
      <c r="B18" s="1" t="s">
        <v>8</v>
      </c>
      <c r="C18" s="16" t="s">
        <v>20</v>
      </c>
      <c r="D18" s="17">
        <v>42368</v>
      </c>
      <c r="E18" s="16"/>
      <c r="F18" s="18" t="s">
        <v>44</v>
      </c>
      <c r="G18" s="18" t="s">
        <v>45</v>
      </c>
      <c r="H18" s="38" t="s">
        <v>46</v>
      </c>
      <c r="I18" s="42" t="s">
        <v>1</v>
      </c>
      <c r="J18" s="1" t="s">
        <v>3</v>
      </c>
      <c r="K18" s="1">
        <v>29</v>
      </c>
      <c r="L18" s="2">
        <v>7</v>
      </c>
      <c r="M18" s="24">
        <v>145638000</v>
      </c>
      <c r="N18" s="3">
        <v>355335</v>
      </c>
      <c r="O18" s="54">
        <f t="shared" si="0"/>
        <v>20805428.571428571</v>
      </c>
      <c r="P18" s="54">
        <f t="shared" si="1"/>
        <v>50762.142857142855</v>
      </c>
      <c r="Q18" s="54">
        <f t="shared" si="2"/>
        <v>21845700</v>
      </c>
      <c r="R18" s="55">
        <f t="shared" si="3"/>
        <v>53300.25</v>
      </c>
      <c r="S18" s="40" t="s">
        <v>2</v>
      </c>
      <c r="T18" s="1"/>
      <c r="U18" s="1"/>
      <c r="V18" s="1" t="s">
        <v>2</v>
      </c>
      <c r="W18" s="1" t="s">
        <v>2</v>
      </c>
      <c r="X18" s="1"/>
      <c r="Y18" s="24"/>
      <c r="Z18" s="3"/>
      <c r="AA18" s="47" t="e">
        <f t="shared" si="4"/>
        <v>#VALUE!</v>
      </c>
      <c r="AB18" s="47" t="e">
        <f t="shared" si="5"/>
        <v>#VALUE!</v>
      </c>
      <c r="AC18" s="47" t="e">
        <f t="shared" si="6"/>
        <v>#VALUE!</v>
      </c>
      <c r="AD18" s="47" t="e">
        <f t="shared" si="7"/>
        <v>#VALUE!</v>
      </c>
      <c r="AE18" s="24"/>
      <c r="AF18" s="3"/>
      <c r="AG18" s="58" t="e">
        <f t="shared" si="8"/>
        <v>#VALUE!</v>
      </c>
      <c r="AH18" s="58" t="e">
        <f t="shared" si="9"/>
        <v>#VALUE!</v>
      </c>
      <c r="AI18" s="58" t="e">
        <f t="shared" si="10"/>
        <v>#VALUE!</v>
      </c>
      <c r="AJ18" s="58" t="e">
        <f t="shared" si="11"/>
        <v>#VALUE!</v>
      </c>
      <c r="AK18" s="24"/>
      <c r="AL18" s="3"/>
      <c r="AM18" s="59" t="e">
        <f t="shared" si="12"/>
        <v>#DIV/0!</v>
      </c>
      <c r="AN18" s="59" t="e">
        <f t="shared" si="13"/>
        <v>#DIV/0!</v>
      </c>
      <c r="AO18" s="59" t="e">
        <f t="shared" si="14"/>
        <v>#DIV/0!</v>
      </c>
      <c r="AP18" s="59" t="e">
        <f t="shared" si="15"/>
        <v>#DIV/0!</v>
      </c>
      <c r="AQ18" s="46"/>
      <c r="AR18" s="26"/>
    </row>
    <row r="19" spans="1:44" s="23" customFormat="1" ht="34.950000000000003" customHeight="1" x14ac:dyDescent="0.3">
      <c r="A19" s="15" t="s">
        <v>31</v>
      </c>
      <c r="B19" s="1" t="s">
        <v>15</v>
      </c>
      <c r="C19" s="16" t="s">
        <v>21</v>
      </c>
      <c r="D19" s="17">
        <v>42233</v>
      </c>
      <c r="E19" s="16"/>
      <c r="F19" s="18" t="s">
        <v>44</v>
      </c>
      <c r="G19" s="18" t="s">
        <v>68</v>
      </c>
      <c r="H19" s="38" t="s">
        <v>46</v>
      </c>
      <c r="I19" s="42" t="s">
        <v>1</v>
      </c>
      <c r="J19" s="1" t="s">
        <v>3</v>
      </c>
      <c r="K19" s="1">
        <v>18</v>
      </c>
      <c r="L19" s="2">
        <v>26127</v>
      </c>
      <c r="M19" s="24">
        <v>184590118.38790619</v>
      </c>
      <c r="N19" s="3">
        <v>463464</v>
      </c>
      <c r="O19" s="54">
        <f t="shared" si="0"/>
        <v>7065.1095949747842</v>
      </c>
      <c r="P19" s="54">
        <f t="shared" si="1"/>
        <v>17.738890802617981</v>
      </c>
      <c r="Q19" s="54">
        <f t="shared" si="2"/>
        <v>7418.3650747235242</v>
      </c>
      <c r="R19" s="55">
        <f t="shared" si="3"/>
        <v>18.625835342748882</v>
      </c>
      <c r="S19" s="40" t="s">
        <v>30</v>
      </c>
      <c r="T19" s="1" t="s">
        <v>69</v>
      </c>
      <c r="U19" s="1"/>
      <c r="V19" s="1">
        <v>1194</v>
      </c>
      <c r="W19" s="1">
        <v>1194</v>
      </c>
      <c r="X19" s="1"/>
      <c r="Y19" s="24">
        <v>184590118.38790619</v>
      </c>
      <c r="Z19" s="3">
        <v>463464</v>
      </c>
      <c r="AA19" s="47">
        <f t="shared" si="4"/>
        <v>154598.08910209898</v>
      </c>
      <c r="AB19" s="47">
        <f t="shared" si="5"/>
        <v>388.1608040201005</v>
      </c>
      <c r="AC19" s="47">
        <f t="shared" si="6"/>
        <v>162327.99355720397</v>
      </c>
      <c r="AD19" s="47">
        <f t="shared" si="7"/>
        <v>407.56884422110556</v>
      </c>
      <c r="AE19" s="24"/>
      <c r="AF19" s="3"/>
      <c r="AG19" s="58">
        <f t="shared" si="8"/>
        <v>0</v>
      </c>
      <c r="AH19" s="58">
        <f t="shared" si="9"/>
        <v>0</v>
      </c>
      <c r="AI19" s="58">
        <f t="shared" si="10"/>
        <v>0</v>
      </c>
      <c r="AJ19" s="58">
        <f t="shared" si="11"/>
        <v>0</v>
      </c>
      <c r="AK19" s="24"/>
      <c r="AL19" s="3"/>
      <c r="AM19" s="59" t="e">
        <f t="shared" si="12"/>
        <v>#DIV/0!</v>
      </c>
      <c r="AN19" s="59" t="e">
        <f t="shared" si="13"/>
        <v>#DIV/0!</v>
      </c>
      <c r="AO19" s="59" t="e">
        <f t="shared" si="14"/>
        <v>#DIV/0!</v>
      </c>
      <c r="AP19" s="59" t="e">
        <f t="shared" si="15"/>
        <v>#DIV/0!</v>
      </c>
      <c r="AQ19" s="46"/>
      <c r="AR19" s="26"/>
    </row>
    <row r="20" spans="1:44" s="23" customFormat="1" ht="34.950000000000003" customHeight="1" x14ac:dyDescent="0.3">
      <c r="A20" s="15" t="s">
        <v>31</v>
      </c>
      <c r="B20" s="1" t="s">
        <v>9</v>
      </c>
      <c r="C20" s="16" t="s">
        <v>22</v>
      </c>
      <c r="D20" s="17">
        <v>42261</v>
      </c>
      <c r="E20" s="16"/>
      <c r="F20" s="18" t="s">
        <v>44</v>
      </c>
      <c r="G20" s="18" t="s">
        <v>68</v>
      </c>
      <c r="H20" s="38" t="s">
        <v>46</v>
      </c>
      <c r="I20" s="42" t="s">
        <v>1</v>
      </c>
      <c r="J20" s="1" t="s">
        <v>3</v>
      </c>
      <c r="K20" s="1">
        <v>21</v>
      </c>
      <c r="L20" s="2">
        <v>22748</v>
      </c>
      <c r="M20" s="24">
        <v>283396995.48347133</v>
      </c>
      <c r="N20" s="3">
        <v>436346</v>
      </c>
      <c r="O20" s="54">
        <f t="shared" si="0"/>
        <v>12458.106008592902</v>
      </c>
      <c r="P20" s="54">
        <f t="shared" si="1"/>
        <v>19.181730262001054</v>
      </c>
      <c r="Q20" s="54">
        <f t="shared" si="2"/>
        <v>13081.011309022546</v>
      </c>
      <c r="R20" s="55">
        <f t="shared" si="3"/>
        <v>20.140816775101111</v>
      </c>
      <c r="S20" s="40" t="s">
        <v>30</v>
      </c>
      <c r="T20" s="1"/>
      <c r="U20" s="1"/>
      <c r="V20" s="1">
        <v>2693</v>
      </c>
      <c r="W20" s="1"/>
      <c r="X20" s="1"/>
      <c r="Y20" s="24">
        <v>283396995.48347133</v>
      </c>
      <c r="Z20" s="3">
        <v>436346</v>
      </c>
      <c r="AA20" s="47">
        <f t="shared" si="4"/>
        <v>105234.68083307514</v>
      </c>
      <c r="AB20" s="47">
        <f t="shared" si="5"/>
        <v>162.02970664686222</v>
      </c>
      <c r="AC20" s="47">
        <f t="shared" si="6"/>
        <v>110496.41487472889</v>
      </c>
      <c r="AD20" s="47">
        <f t="shared" si="7"/>
        <v>170.13119197920537</v>
      </c>
      <c r="AE20" s="24"/>
      <c r="AF20" s="3"/>
      <c r="AG20" s="58" t="e">
        <f t="shared" si="8"/>
        <v>#DIV/0!</v>
      </c>
      <c r="AH20" s="58" t="e">
        <f t="shared" si="9"/>
        <v>#DIV/0!</v>
      </c>
      <c r="AI20" s="58" t="e">
        <f t="shared" si="10"/>
        <v>#DIV/0!</v>
      </c>
      <c r="AJ20" s="58" t="e">
        <f t="shared" si="11"/>
        <v>#DIV/0!</v>
      </c>
      <c r="AK20" s="24"/>
      <c r="AL20" s="3"/>
      <c r="AM20" s="59" t="e">
        <f t="shared" si="12"/>
        <v>#DIV/0!</v>
      </c>
      <c r="AN20" s="59" t="e">
        <f t="shared" si="13"/>
        <v>#DIV/0!</v>
      </c>
      <c r="AO20" s="59" t="e">
        <f t="shared" si="14"/>
        <v>#DIV/0!</v>
      </c>
      <c r="AP20" s="59" t="e">
        <f t="shared" si="15"/>
        <v>#DIV/0!</v>
      </c>
      <c r="AQ20" s="46"/>
      <c r="AR20" s="26"/>
    </row>
    <row r="21" spans="1:44" s="23" customFormat="1" ht="34.950000000000003" customHeight="1" x14ac:dyDescent="0.3">
      <c r="A21" s="15" t="s">
        <v>31</v>
      </c>
      <c r="B21" s="1" t="s">
        <v>10</v>
      </c>
      <c r="C21" s="16" t="s">
        <v>23</v>
      </c>
      <c r="D21" s="17">
        <v>42355</v>
      </c>
      <c r="E21" s="16"/>
      <c r="F21" s="18" t="s">
        <v>44</v>
      </c>
      <c r="G21" s="18" t="s">
        <v>70</v>
      </c>
      <c r="H21" s="38" t="s">
        <v>46</v>
      </c>
      <c r="I21" s="42" t="s">
        <v>1</v>
      </c>
      <c r="J21" s="1" t="s">
        <v>3</v>
      </c>
      <c r="K21" s="1">
        <v>23</v>
      </c>
      <c r="L21" s="2">
        <v>17723</v>
      </c>
      <c r="M21" s="24">
        <v>175741589</v>
      </c>
      <c r="N21" s="3">
        <v>323524</v>
      </c>
      <c r="O21" s="54">
        <f t="shared" si="0"/>
        <v>9916.0181120577781</v>
      </c>
      <c r="P21" s="54">
        <f t="shared" si="1"/>
        <v>18.254471590588501</v>
      </c>
      <c r="Q21" s="54">
        <f t="shared" si="2"/>
        <v>10411.819017660668</v>
      </c>
      <c r="R21" s="55">
        <f t="shared" si="3"/>
        <v>19.167195170117928</v>
      </c>
      <c r="S21" s="40" t="s">
        <v>2</v>
      </c>
      <c r="T21" s="1"/>
      <c r="U21" s="1"/>
      <c r="V21" s="1" t="s">
        <v>2</v>
      </c>
      <c r="W21" s="1"/>
      <c r="X21" s="1"/>
      <c r="Y21" s="24"/>
      <c r="Z21" s="3"/>
      <c r="AA21" s="47" t="e">
        <f t="shared" si="4"/>
        <v>#VALUE!</v>
      </c>
      <c r="AB21" s="47" t="e">
        <f t="shared" si="5"/>
        <v>#VALUE!</v>
      </c>
      <c r="AC21" s="47" t="e">
        <f t="shared" si="6"/>
        <v>#VALUE!</v>
      </c>
      <c r="AD21" s="47" t="e">
        <f t="shared" si="7"/>
        <v>#VALUE!</v>
      </c>
      <c r="AE21" s="24"/>
      <c r="AF21" s="3"/>
      <c r="AG21" s="58" t="e">
        <f t="shared" si="8"/>
        <v>#DIV/0!</v>
      </c>
      <c r="AH21" s="58" t="e">
        <f t="shared" si="9"/>
        <v>#DIV/0!</v>
      </c>
      <c r="AI21" s="58" t="e">
        <f t="shared" si="10"/>
        <v>#DIV/0!</v>
      </c>
      <c r="AJ21" s="58" t="e">
        <f t="shared" si="11"/>
        <v>#DIV/0!</v>
      </c>
      <c r="AK21" s="24"/>
      <c r="AL21" s="3"/>
      <c r="AM21" s="59" t="e">
        <f t="shared" si="12"/>
        <v>#DIV/0!</v>
      </c>
      <c r="AN21" s="59" t="e">
        <f t="shared" si="13"/>
        <v>#DIV/0!</v>
      </c>
      <c r="AO21" s="59" t="e">
        <f t="shared" si="14"/>
        <v>#DIV/0!</v>
      </c>
      <c r="AP21" s="59" t="e">
        <f t="shared" si="15"/>
        <v>#DIV/0!</v>
      </c>
      <c r="AQ21" s="46"/>
      <c r="AR21" s="26"/>
    </row>
    <row r="22" spans="1:44" s="23" customFormat="1" ht="34.950000000000003" customHeight="1" x14ac:dyDescent="0.3">
      <c r="A22" s="15" t="s">
        <v>31</v>
      </c>
      <c r="B22" s="1" t="s">
        <v>11</v>
      </c>
      <c r="C22" s="16" t="s">
        <v>24</v>
      </c>
      <c r="D22" s="17">
        <v>42321</v>
      </c>
      <c r="E22" s="16"/>
      <c r="F22" s="18" t="s">
        <v>44</v>
      </c>
      <c r="G22" s="18" t="s">
        <v>68</v>
      </c>
      <c r="H22" s="38" t="s">
        <v>46</v>
      </c>
      <c r="I22" s="42" t="s">
        <v>1</v>
      </c>
      <c r="J22" s="1" t="s">
        <v>3</v>
      </c>
      <c r="K22" s="1">
        <v>21</v>
      </c>
      <c r="L22" s="2">
        <v>25280</v>
      </c>
      <c r="M22" s="24">
        <v>160234479.5380936</v>
      </c>
      <c r="N22" s="3">
        <v>353553</v>
      </c>
      <c r="O22" s="54">
        <f t="shared" si="0"/>
        <v>6338.3892222347149</v>
      </c>
      <c r="P22" s="54">
        <f t="shared" si="1"/>
        <v>13.985482594936709</v>
      </c>
      <c r="Q22" s="54">
        <f t="shared" si="2"/>
        <v>6655.3086833464513</v>
      </c>
      <c r="R22" s="55">
        <f t="shared" si="3"/>
        <v>14.684756724683545</v>
      </c>
      <c r="S22" s="40" t="s">
        <v>30</v>
      </c>
      <c r="T22" s="1"/>
      <c r="U22" s="1"/>
      <c r="V22" s="1">
        <v>3739</v>
      </c>
      <c r="W22" s="1"/>
      <c r="X22" s="1"/>
      <c r="Y22" s="24">
        <v>160234479.5380936</v>
      </c>
      <c r="Z22" s="3">
        <v>353553</v>
      </c>
      <c r="AA22" s="47">
        <f t="shared" si="4"/>
        <v>42854.902256778172</v>
      </c>
      <c r="AB22" s="47">
        <f t="shared" si="5"/>
        <v>94.558170633859319</v>
      </c>
      <c r="AC22" s="47">
        <f t="shared" si="6"/>
        <v>44997.647369617087</v>
      </c>
      <c r="AD22" s="47">
        <f t="shared" si="7"/>
        <v>99.286079165552295</v>
      </c>
      <c r="AE22" s="24"/>
      <c r="AF22" s="3"/>
      <c r="AG22" s="58" t="e">
        <f t="shared" si="8"/>
        <v>#DIV/0!</v>
      </c>
      <c r="AH22" s="58" t="e">
        <f t="shared" si="9"/>
        <v>#DIV/0!</v>
      </c>
      <c r="AI22" s="58" t="e">
        <f t="shared" si="10"/>
        <v>#DIV/0!</v>
      </c>
      <c r="AJ22" s="58" t="e">
        <f t="shared" si="11"/>
        <v>#DIV/0!</v>
      </c>
      <c r="AK22" s="24"/>
      <c r="AL22" s="3"/>
      <c r="AM22" s="59" t="e">
        <f t="shared" si="12"/>
        <v>#DIV/0!</v>
      </c>
      <c r="AN22" s="59" t="e">
        <f t="shared" si="13"/>
        <v>#DIV/0!</v>
      </c>
      <c r="AO22" s="59" t="e">
        <f t="shared" si="14"/>
        <v>#DIV/0!</v>
      </c>
      <c r="AP22" s="59" t="e">
        <f t="shared" si="15"/>
        <v>#DIV/0!</v>
      </c>
      <c r="AQ22" s="46"/>
      <c r="AR22" s="26"/>
    </row>
    <row r="23" spans="1:44" s="23" customFormat="1" ht="34.950000000000003" customHeight="1" x14ac:dyDescent="0.3">
      <c r="A23" s="15" t="s">
        <v>31</v>
      </c>
      <c r="B23" s="1" t="s">
        <v>12</v>
      </c>
      <c r="C23" s="16" t="s">
        <v>25</v>
      </c>
      <c r="D23" s="17">
        <v>42366</v>
      </c>
      <c r="E23" s="16"/>
      <c r="F23" s="18" t="s">
        <v>44</v>
      </c>
      <c r="G23" s="18" t="s">
        <v>68</v>
      </c>
      <c r="H23" s="38" t="s">
        <v>46</v>
      </c>
      <c r="I23" s="42" t="s">
        <v>1</v>
      </c>
      <c r="J23" s="1" t="s">
        <v>3</v>
      </c>
      <c r="K23" s="1">
        <v>22</v>
      </c>
      <c r="L23" s="2">
        <v>24491</v>
      </c>
      <c r="M23" s="24">
        <v>157950644.17843628</v>
      </c>
      <c r="N23" s="3">
        <v>436346</v>
      </c>
      <c r="O23" s="54">
        <f t="shared" si="0"/>
        <v>6449.3342116874064</v>
      </c>
      <c r="P23" s="54">
        <f t="shared" si="1"/>
        <v>17.816585684537177</v>
      </c>
      <c r="Q23" s="54">
        <f t="shared" si="2"/>
        <v>6771.8009222717774</v>
      </c>
      <c r="R23" s="55">
        <f t="shared" si="3"/>
        <v>18.707414968764038</v>
      </c>
      <c r="S23" s="40" t="s">
        <v>30</v>
      </c>
      <c r="T23" s="1"/>
      <c r="U23" s="1"/>
      <c r="V23" s="1">
        <v>560</v>
      </c>
      <c r="W23" s="1"/>
      <c r="X23" s="1"/>
      <c r="Y23" s="24">
        <v>157950644.17843628</v>
      </c>
      <c r="Z23" s="3">
        <v>436346</v>
      </c>
      <c r="AA23" s="47">
        <f t="shared" si="4"/>
        <v>282054.72174720763</v>
      </c>
      <c r="AB23" s="47">
        <f t="shared" si="5"/>
        <v>779.18928571428569</v>
      </c>
      <c r="AC23" s="47">
        <f t="shared" si="6"/>
        <v>296157.45783456805</v>
      </c>
      <c r="AD23" s="47">
        <f t="shared" si="7"/>
        <v>818.14875000000006</v>
      </c>
      <c r="AE23" s="24"/>
      <c r="AF23" s="3"/>
      <c r="AG23" s="58" t="e">
        <f t="shared" si="8"/>
        <v>#DIV/0!</v>
      </c>
      <c r="AH23" s="58" t="e">
        <f t="shared" si="9"/>
        <v>#DIV/0!</v>
      </c>
      <c r="AI23" s="58" t="e">
        <f t="shared" si="10"/>
        <v>#DIV/0!</v>
      </c>
      <c r="AJ23" s="58" t="e">
        <f t="shared" si="11"/>
        <v>#DIV/0!</v>
      </c>
      <c r="AK23" s="24"/>
      <c r="AL23" s="3"/>
      <c r="AM23" s="59" t="e">
        <f t="shared" si="12"/>
        <v>#DIV/0!</v>
      </c>
      <c r="AN23" s="59" t="e">
        <f t="shared" si="13"/>
        <v>#DIV/0!</v>
      </c>
      <c r="AO23" s="59" t="e">
        <f t="shared" si="14"/>
        <v>#DIV/0!</v>
      </c>
      <c r="AP23" s="59" t="e">
        <f t="shared" si="15"/>
        <v>#DIV/0!</v>
      </c>
      <c r="AQ23" s="46"/>
      <c r="AR23" s="26"/>
    </row>
    <row r="24" spans="1:44" s="23" customFormat="1" ht="34.950000000000003" customHeight="1" x14ac:dyDescent="0.3">
      <c r="A24" s="15" t="s">
        <v>31</v>
      </c>
      <c r="B24" s="1" t="s">
        <v>13</v>
      </c>
      <c r="C24" s="16" t="s">
        <v>26</v>
      </c>
      <c r="D24" s="17">
        <v>42422</v>
      </c>
      <c r="E24" s="16"/>
      <c r="F24" s="18" t="s">
        <v>44</v>
      </c>
      <c r="G24" s="18" t="s">
        <v>68</v>
      </c>
      <c r="H24" s="38" t="s">
        <v>46</v>
      </c>
      <c r="I24" s="42" t="s">
        <v>1</v>
      </c>
      <c r="J24" s="1" t="s">
        <v>3</v>
      </c>
      <c r="K24" s="1">
        <v>29</v>
      </c>
      <c r="L24" s="2">
        <v>27093</v>
      </c>
      <c r="M24" s="24">
        <v>257119465.64690232</v>
      </c>
      <c r="N24" s="3">
        <v>323524</v>
      </c>
      <c r="O24" s="54">
        <f t="shared" si="0"/>
        <v>9490.2545176577842</v>
      </c>
      <c r="P24" s="54">
        <f t="shared" si="1"/>
        <v>11.941239434540288</v>
      </c>
      <c r="Q24" s="54">
        <f t="shared" si="2"/>
        <v>9964.767243540673</v>
      </c>
      <c r="R24" s="55">
        <f t="shared" si="3"/>
        <v>12.538301406267301</v>
      </c>
      <c r="S24" s="40" t="s">
        <v>2</v>
      </c>
      <c r="T24" s="1" t="s">
        <v>69</v>
      </c>
      <c r="U24" s="1"/>
      <c r="V24" s="1">
        <v>2096</v>
      </c>
      <c r="W24" s="1">
        <v>2096</v>
      </c>
      <c r="X24" s="1"/>
      <c r="Y24" s="24"/>
      <c r="Z24" s="3"/>
      <c r="AA24" s="47">
        <f t="shared" si="4"/>
        <v>0</v>
      </c>
      <c r="AB24" s="47">
        <f t="shared" si="5"/>
        <v>0</v>
      </c>
      <c r="AC24" s="47">
        <f t="shared" si="6"/>
        <v>0</v>
      </c>
      <c r="AD24" s="47">
        <f t="shared" si="7"/>
        <v>0</v>
      </c>
      <c r="AE24" s="22"/>
      <c r="AF24" s="22"/>
      <c r="AG24" s="58">
        <f t="shared" si="8"/>
        <v>0</v>
      </c>
      <c r="AH24" s="58">
        <f t="shared" si="9"/>
        <v>0</v>
      </c>
      <c r="AI24" s="58">
        <f t="shared" si="10"/>
        <v>0</v>
      </c>
      <c r="AJ24" s="58">
        <f t="shared" si="11"/>
        <v>0</v>
      </c>
      <c r="AK24" s="22"/>
      <c r="AL24" s="22"/>
      <c r="AM24" s="59" t="e">
        <f t="shared" si="12"/>
        <v>#DIV/0!</v>
      </c>
      <c r="AN24" s="59" t="e">
        <f t="shared" si="13"/>
        <v>#DIV/0!</v>
      </c>
      <c r="AO24" s="59" t="e">
        <f t="shared" si="14"/>
        <v>#DIV/0!</v>
      </c>
      <c r="AP24" s="59" t="e">
        <f t="shared" si="15"/>
        <v>#DIV/0!</v>
      </c>
      <c r="AQ24" s="46"/>
      <c r="AR24" s="26"/>
    </row>
    <row r="25" spans="1:44" s="23" customFormat="1" ht="58.8" customHeight="1" thickBot="1" x14ac:dyDescent="0.35">
      <c r="A25" s="27" t="s">
        <v>31</v>
      </c>
      <c r="B25" s="28" t="s">
        <v>14</v>
      </c>
      <c r="C25" s="29" t="s">
        <v>27</v>
      </c>
      <c r="D25" s="30">
        <v>42335</v>
      </c>
      <c r="E25" s="29"/>
      <c r="F25" s="31" t="s">
        <v>44</v>
      </c>
      <c r="G25" s="31" t="s">
        <v>45</v>
      </c>
      <c r="H25" s="39" t="s">
        <v>46</v>
      </c>
      <c r="I25" s="43" t="s">
        <v>1</v>
      </c>
      <c r="J25" s="28" t="s">
        <v>3</v>
      </c>
      <c r="K25" s="28">
        <v>24</v>
      </c>
      <c r="L25" s="32">
        <v>19128</v>
      </c>
      <c r="M25" s="33">
        <v>201540466.22620308</v>
      </c>
      <c r="N25" s="34">
        <v>353553</v>
      </c>
      <c r="O25" s="56">
        <f t="shared" si="0"/>
        <v>10536.41082320175</v>
      </c>
      <c r="P25" s="56">
        <f t="shared" si="1"/>
        <v>18.483531994981181</v>
      </c>
      <c r="Q25" s="56">
        <f t="shared" si="2"/>
        <v>11063.231364361838</v>
      </c>
      <c r="R25" s="57">
        <f t="shared" si="3"/>
        <v>19.407708594730238</v>
      </c>
      <c r="S25" s="41" t="s">
        <v>2</v>
      </c>
      <c r="T25" s="28" t="s">
        <v>69</v>
      </c>
      <c r="U25" s="28"/>
      <c r="V25" s="28">
        <v>5540</v>
      </c>
      <c r="W25" s="28">
        <v>5540</v>
      </c>
      <c r="X25" s="28"/>
      <c r="Y25" s="33"/>
      <c r="Z25" s="34"/>
      <c r="AA25" s="47">
        <f t="shared" si="4"/>
        <v>0</v>
      </c>
      <c r="AB25" s="47">
        <f t="shared" si="5"/>
        <v>0</v>
      </c>
      <c r="AC25" s="47">
        <f t="shared" si="6"/>
        <v>0</v>
      </c>
      <c r="AD25" s="47">
        <f t="shared" si="7"/>
        <v>0</v>
      </c>
      <c r="AE25" s="35"/>
      <c r="AF25" s="35"/>
      <c r="AG25" s="58">
        <f t="shared" si="8"/>
        <v>0</v>
      </c>
      <c r="AH25" s="58">
        <f t="shared" si="9"/>
        <v>0</v>
      </c>
      <c r="AI25" s="58">
        <f t="shared" si="10"/>
        <v>0</v>
      </c>
      <c r="AJ25" s="58">
        <f t="shared" si="11"/>
        <v>0</v>
      </c>
      <c r="AK25" s="35"/>
      <c r="AL25" s="35"/>
      <c r="AM25" s="59" t="e">
        <f t="shared" si="12"/>
        <v>#DIV/0!</v>
      </c>
      <c r="AN25" s="59" t="e">
        <f t="shared" si="13"/>
        <v>#DIV/0!</v>
      </c>
      <c r="AO25" s="59" t="e">
        <f t="shared" si="14"/>
        <v>#DIV/0!</v>
      </c>
      <c r="AP25" s="59" t="e">
        <f t="shared" si="15"/>
        <v>#DIV/0!</v>
      </c>
      <c r="AQ25" s="46"/>
      <c r="AR25" s="36"/>
    </row>
  </sheetData>
  <autoFilter ref="A5:AR25">
    <filterColumn colId="0">
      <filters>
        <filter val="DTL1"/>
        <filter val="DTL2"/>
        <filter val="DTL3"/>
        <filter val="TEL"/>
        <filter val="TSL"/>
      </filters>
    </filterColumn>
    <filterColumn colId="5">
      <filters>
        <filter val="BuildOnly"/>
        <filter val="D&amp;B"/>
      </filters>
    </filterColumn>
    <filterColumn colId="8">
      <filters>
        <filter val="All"/>
        <filter val="Interchange"/>
        <filter val="Typical"/>
      </filters>
    </filterColumn>
  </autoFilter>
  <dataConsolidate/>
  <mergeCells count="41">
    <mergeCell ref="Y2:AD2"/>
    <mergeCell ref="G1:G5"/>
    <mergeCell ref="H1:H5"/>
    <mergeCell ref="I1:R1"/>
    <mergeCell ref="S1:AP1"/>
    <mergeCell ref="F1:F5"/>
    <mergeCell ref="AG3:AJ3"/>
    <mergeCell ref="AK3:AL3"/>
    <mergeCell ref="AM3:AP3"/>
    <mergeCell ref="O4:P4"/>
    <mergeCell ref="Q4:R4"/>
    <mergeCell ref="Y4:Z4"/>
    <mergeCell ref="AA4:AB4"/>
    <mergeCell ref="AC4:AD4"/>
    <mergeCell ref="AE4:AF4"/>
    <mergeCell ref="AA3:AD3"/>
    <mergeCell ref="AE3:AF3"/>
    <mergeCell ref="A1:A5"/>
    <mergeCell ref="B1:B5"/>
    <mergeCell ref="C1:C5"/>
    <mergeCell ref="D1:D5"/>
    <mergeCell ref="E1:E5"/>
    <mergeCell ref="I2:I5"/>
    <mergeCell ref="J2:L4"/>
    <mergeCell ref="M2:R2"/>
    <mergeCell ref="S2:U4"/>
    <mergeCell ref="V2:X2"/>
    <mergeCell ref="M3:N4"/>
    <mergeCell ref="O3:R3"/>
    <mergeCell ref="V3:V4"/>
    <mergeCell ref="W3:W4"/>
    <mergeCell ref="X3:X4"/>
    <mergeCell ref="AM4:AN4"/>
    <mergeCell ref="AG4:AH4"/>
    <mergeCell ref="AI4:AJ4"/>
    <mergeCell ref="AK4:AL4"/>
    <mergeCell ref="AQ1:AR1"/>
    <mergeCell ref="AQ2:AQ5"/>
    <mergeCell ref="AR2:AR5"/>
    <mergeCell ref="Y3:Z3"/>
    <mergeCell ref="AO4:AP4"/>
  </mergeCells>
  <dataValidations count="8">
    <dataValidation type="list" allowBlank="1" showInputMessage="1" showErrorMessage="1" sqref="H1 H6:H1048576">
      <formula1>"Jurong/Kallang Formation , Old Alluvium/Kallang Formation, Bukit Timah/Kallang Formation"</formula1>
    </dataValidation>
    <dataValidation type="list" allowBlank="1" showInputMessage="1" showErrorMessage="1" sqref="G1 F6:F1048576">
      <formula1>"BuildOnly, D&amp;B"</formula1>
    </dataValidation>
    <dataValidation type="list" allowBlank="1" showInputMessage="1" showErrorMessage="1" sqref="G6:G1048576">
      <formula1>"Station, Tunnels, Station&amp;Tunnel, Depot"</formula1>
    </dataValidation>
    <dataValidation type="list" allowBlank="1" showInputMessage="1" showErrorMessage="1" sqref="I6:I1048576">
      <formula1>"Typical, Interchange,Depot,-"</formula1>
    </dataValidation>
    <dataValidation type="list" allowBlank="1" showInputMessage="1" showErrorMessage="1" sqref="J2:J1048576">
      <formula1>"CD, Non-CD, -"</formula1>
    </dataValidation>
    <dataValidation type="list" allowBlank="1" showInputMessage="1" showErrorMessage="1" sqref="S2 S5:S1048576">
      <formula1>"Bored,-"</formula1>
    </dataValidation>
    <dataValidation type="list" allowBlank="1" showInputMessage="1" showErrorMessage="1" sqref="T5:T1048576">
      <formula1>"Cut&amp;Cover,-"</formula1>
    </dataValidation>
    <dataValidation type="list" allowBlank="1" showInputMessage="1" showErrorMessage="1" sqref="U5:U1048576">
      <formula1>"Mined,-"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23"/>
  <sheetViews>
    <sheetView tabSelected="1" zoomScale="55" zoomScaleNormal="55" workbookViewId="0">
      <selection activeCell="J7" sqref="J7"/>
    </sheetView>
  </sheetViews>
  <sheetFormatPr defaultRowHeight="14.4" x14ac:dyDescent="0.3"/>
  <cols>
    <col min="9" max="9" width="13.77734375" customWidth="1"/>
    <col min="11" max="11" width="12.109375" customWidth="1"/>
    <col min="12" max="12" width="8.88671875" customWidth="1"/>
    <col min="13" max="13" width="23.77734375" customWidth="1"/>
    <col min="14" max="14" width="23.44140625" customWidth="1"/>
    <col min="15" max="15" width="19.44140625" customWidth="1"/>
    <col min="16" max="16" width="12.33203125" customWidth="1"/>
    <col min="17" max="20" width="8.88671875" customWidth="1"/>
    <col min="21" max="21" width="24.77734375" customWidth="1"/>
    <col min="22" max="22" width="15" customWidth="1"/>
    <col min="23" max="23" width="17.21875" customWidth="1"/>
    <col min="24" max="24" width="10.5546875" customWidth="1"/>
    <col min="25" max="25" width="12" customWidth="1"/>
    <col min="26" max="26" width="13.33203125" customWidth="1"/>
    <col min="27" max="27" width="18.21875" customWidth="1"/>
    <col min="28" max="28" width="10.44140625" customWidth="1"/>
    <col min="29" max="29" width="20.6640625" customWidth="1"/>
    <col min="30" max="30" width="34.109375" customWidth="1"/>
    <col min="31" max="31" width="54.109375" customWidth="1"/>
    <col min="32" max="32" width="58.33203125" customWidth="1"/>
    <col min="33" max="43" width="8.88671875" customWidth="1"/>
  </cols>
  <sheetData>
    <row r="1" spans="1:20" ht="15" thickBot="1" x14ac:dyDescent="0.35">
      <c r="A1" s="120" t="s">
        <v>91</v>
      </c>
      <c r="B1" s="123" t="s">
        <v>92</v>
      </c>
      <c r="C1" s="123" t="s">
        <v>93</v>
      </c>
      <c r="D1" s="123" t="s">
        <v>4</v>
      </c>
      <c r="E1" s="123" t="s">
        <v>94</v>
      </c>
      <c r="F1" s="123" t="s">
        <v>95</v>
      </c>
      <c r="G1" s="123" t="s">
        <v>96</v>
      </c>
      <c r="H1" s="126" t="s">
        <v>97</v>
      </c>
      <c r="I1" s="129" t="s">
        <v>98</v>
      </c>
      <c r="J1" s="130"/>
      <c r="K1" s="130"/>
      <c r="L1" s="130"/>
      <c r="M1" s="130"/>
      <c r="N1" s="130"/>
      <c r="O1" s="130"/>
      <c r="P1" s="130"/>
      <c r="Q1" s="130"/>
      <c r="R1" s="131"/>
      <c r="S1" s="83" t="s">
        <v>100</v>
      </c>
      <c r="T1" s="84"/>
    </row>
    <row r="2" spans="1:20" x14ac:dyDescent="0.3">
      <c r="A2" s="121"/>
      <c r="B2" s="124"/>
      <c r="C2" s="124"/>
      <c r="D2" s="124"/>
      <c r="E2" s="124"/>
      <c r="F2" s="124"/>
      <c r="G2" s="124"/>
      <c r="H2" s="127"/>
      <c r="I2" s="96" t="s">
        <v>101</v>
      </c>
      <c r="J2" s="99" t="s">
        <v>102</v>
      </c>
      <c r="K2" s="100"/>
      <c r="L2" s="101"/>
      <c r="M2" s="108" t="s">
        <v>103</v>
      </c>
      <c r="N2" s="109"/>
      <c r="O2" s="109"/>
      <c r="P2" s="109"/>
      <c r="Q2" s="109"/>
      <c r="R2" s="110"/>
      <c r="S2" s="88" t="s">
        <v>107</v>
      </c>
      <c r="T2" s="91" t="s">
        <v>108</v>
      </c>
    </row>
    <row r="3" spans="1:20" x14ac:dyDescent="0.3">
      <c r="A3" s="121"/>
      <c r="B3" s="124"/>
      <c r="C3" s="124"/>
      <c r="D3" s="124"/>
      <c r="E3" s="124"/>
      <c r="F3" s="124"/>
      <c r="G3" s="124"/>
      <c r="H3" s="127"/>
      <c r="I3" s="97"/>
      <c r="J3" s="102"/>
      <c r="K3" s="103"/>
      <c r="L3" s="104"/>
      <c r="M3" s="114" t="s">
        <v>109</v>
      </c>
      <c r="N3" s="115"/>
      <c r="O3" s="116" t="s">
        <v>32</v>
      </c>
      <c r="P3" s="116"/>
      <c r="Q3" s="116"/>
      <c r="R3" s="117"/>
      <c r="S3" s="89"/>
      <c r="T3" s="92"/>
    </row>
    <row r="4" spans="1:20" x14ac:dyDescent="0.3">
      <c r="A4" s="121"/>
      <c r="B4" s="124"/>
      <c r="C4" s="124"/>
      <c r="D4" s="124"/>
      <c r="E4" s="124"/>
      <c r="F4" s="124"/>
      <c r="G4" s="124"/>
      <c r="H4" s="127"/>
      <c r="I4" s="97"/>
      <c r="J4" s="105"/>
      <c r="K4" s="106"/>
      <c r="L4" s="107"/>
      <c r="M4" s="105"/>
      <c r="N4" s="106"/>
      <c r="O4" s="116" t="s">
        <v>35</v>
      </c>
      <c r="P4" s="116"/>
      <c r="Q4" s="116" t="s">
        <v>36</v>
      </c>
      <c r="R4" s="117"/>
      <c r="S4" s="89"/>
      <c r="T4" s="92"/>
    </row>
    <row r="5" spans="1:20" ht="29.4" thickBot="1" x14ac:dyDescent="0.35">
      <c r="A5" s="122"/>
      <c r="B5" s="125"/>
      <c r="C5" s="125"/>
      <c r="D5" s="125"/>
      <c r="E5" s="125"/>
      <c r="F5" s="125"/>
      <c r="G5" s="125"/>
      <c r="H5" s="128"/>
      <c r="I5" s="98"/>
      <c r="J5" s="5"/>
      <c r="K5" s="6" t="s">
        <v>116</v>
      </c>
      <c r="L5" s="7" t="s">
        <v>117</v>
      </c>
      <c r="M5" s="5" t="s">
        <v>118</v>
      </c>
      <c r="N5" s="6" t="s">
        <v>119</v>
      </c>
      <c r="O5" s="6" t="s">
        <v>37</v>
      </c>
      <c r="P5" s="6" t="s">
        <v>38</v>
      </c>
      <c r="Q5" s="6" t="s">
        <v>37</v>
      </c>
      <c r="R5" s="7" t="s">
        <v>38</v>
      </c>
      <c r="S5" s="90"/>
      <c r="T5" s="93"/>
    </row>
    <row r="6" spans="1:20" ht="72" x14ac:dyDescent="0.3">
      <c r="A6" s="15" t="s">
        <v>41</v>
      </c>
      <c r="B6" s="1" t="s">
        <v>42</v>
      </c>
      <c r="C6" s="16" t="s">
        <v>43</v>
      </c>
      <c r="D6" s="17">
        <v>39428</v>
      </c>
      <c r="E6" s="17">
        <v>39498</v>
      </c>
      <c r="F6" s="72" t="s">
        <v>44</v>
      </c>
      <c r="G6" s="72" t="s">
        <v>45</v>
      </c>
      <c r="H6" s="38" t="s">
        <v>46</v>
      </c>
      <c r="I6" s="42" t="s">
        <v>0</v>
      </c>
      <c r="J6" s="1" t="s">
        <v>47</v>
      </c>
      <c r="K6" s="1">
        <v>17</v>
      </c>
      <c r="L6" s="2">
        <v>17000</v>
      </c>
      <c r="M6" s="19">
        <v>204710500</v>
      </c>
      <c r="N6" s="20">
        <v>193883050</v>
      </c>
      <c r="O6" s="52">
        <v>12041.794117647059</v>
      </c>
      <c r="P6" s="52">
        <v>11404.885294117646</v>
      </c>
      <c r="Q6" s="52">
        <v>12643.883823529412</v>
      </c>
      <c r="R6" s="53">
        <v>11975.12955882353</v>
      </c>
      <c r="S6" s="44">
        <v>0.02</v>
      </c>
      <c r="T6" s="45"/>
    </row>
    <row r="7" spans="1:20" ht="72" x14ac:dyDescent="0.3">
      <c r="A7" s="15" t="s">
        <v>41</v>
      </c>
      <c r="B7" s="1" t="s">
        <v>48</v>
      </c>
      <c r="C7" s="16" t="s">
        <v>49</v>
      </c>
      <c r="D7" s="17">
        <v>39583</v>
      </c>
      <c r="E7" s="17">
        <v>39607</v>
      </c>
      <c r="F7" s="18" t="s">
        <v>50</v>
      </c>
      <c r="G7" s="18" t="s">
        <v>68</v>
      </c>
      <c r="H7" s="38" t="s">
        <v>46</v>
      </c>
      <c r="I7" s="42" t="s">
        <v>0</v>
      </c>
      <c r="J7" s="1" t="s">
        <v>47</v>
      </c>
      <c r="K7" s="1">
        <v>43</v>
      </c>
      <c r="L7" s="2">
        <v>13600</v>
      </c>
      <c r="M7" s="24">
        <v>137504800</v>
      </c>
      <c r="N7" s="25">
        <v>174335016.16666669</v>
      </c>
      <c r="O7" s="54">
        <v>10110.64705882353</v>
      </c>
      <c r="P7" s="54">
        <v>12818.751188725491</v>
      </c>
      <c r="Q7" s="54">
        <v>10616.179411764706</v>
      </c>
      <c r="R7" s="55">
        <v>13459.688748161767</v>
      </c>
      <c r="S7" s="46">
        <v>0.02</v>
      </c>
      <c r="T7" s="26"/>
    </row>
    <row r="8" spans="1:20" ht="72" x14ac:dyDescent="0.3">
      <c r="A8" s="15" t="s">
        <v>41</v>
      </c>
      <c r="B8" s="1" t="s">
        <v>51</v>
      </c>
      <c r="C8" s="16" t="s">
        <v>52</v>
      </c>
      <c r="D8" s="17">
        <v>39736</v>
      </c>
      <c r="E8" s="17" t="s">
        <v>53</v>
      </c>
      <c r="F8" s="18" t="s">
        <v>44</v>
      </c>
      <c r="G8" s="18" t="s">
        <v>45</v>
      </c>
      <c r="H8" s="38" t="s">
        <v>46</v>
      </c>
      <c r="I8" s="42" t="s">
        <v>0</v>
      </c>
      <c r="J8" s="1" t="s">
        <v>47</v>
      </c>
      <c r="K8" s="1">
        <v>28</v>
      </c>
      <c r="L8" s="2">
        <v>18805</v>
      </c>
      <c r="M8" s="24">
        <v>279762087.87</v>
      </c>
      <c r="N8" s="25">
        <v>365174418.76000005</v>
      </c>
      <c r="O8" s="54">
        <v>14877.00547035363</v>
      </c>
      <c r="P8" s="54">
        <v>19419.006581228401</v>
      </c>
      <c r="Q8" s="54">
        <v>15620.855743871312</v>
      </c>
      <c r="R8" s="55">
        <v>20389.95691028982</v>
      </c>
      <c r="S8" s="46">
        <v>0.03</v>
      </c>
      <c r="T8" s="26"/>
    </row>
    <row r="9" spans="1:20" ht="72" x14ac:dyDescent="0.3">
      <c r="A9" s="15" t="s">
        <v>41</v>
      </c>
      <c r="B9" s="1" t="s">
        <v>57</v>
      </c>
      <c r="C9" s="16" t="s">
        <v>58</v>
      </c>
      <c r="D9" s="17">
        <v>39365</v>
      </c>
      <c r="E9" s="17" t="s">
        <v>59</v>
      </c>
      <c r="F9" s="18" t="s">
        <v>44</v>
      </c>
      <c r="G9" s="18" t="s">
        <v>45</v>
      </c>
      <c r="H9" s="38" t="s">
        <v>46</v>
      </c>
      <c r="I9" s="42" t="s">
        <v>1</v>
      </c>
      <c r="J9" s="1" t="s">
        <v>47</v>
      </c>
      <c r="K9" s="1">
        <v>25</v>
      </c>
      <c r="L9" s="2">
        <v>24900</v>
      </c>
      <c r="M9" s="24">
        <v>216372792.01000002</v>
      </c>
      <c r="N9" s="25">
        <v>218272514.79000002</v>
      </c>
      <c r="O9" s="54">
        <v>8689.6703618473912</v>
      </c>
      <c r="P9" s="54">
        <v>8765.964449397592</v>
      </c>
      <c r="Q9" s="54">
        <v>9124.1538799397604</v>
      </c>
      <c r="R9" s="55">
        <v>9204.262671867471</v>
      </c>
      <c r="S9" s="46">
        <v>2.5000000000000001E-2</v>
      </c>
      <c r="T9" s="26"/>
    </row>
    <row r="10" spans="1:20" ht="72" x14ac:dyDescent="0.3">
      <c r="A10" s="15" t="s">
        <v>41</v>
      </c>
      <c r="B10" s="1" t="s">
        <v>60</v>
      </c>
      <c r="C10" s="16" t="s">
        <v>61</v>
      </c>
      <c r="D10" s="17">
        <v>39392</v>
      </c>
      <c r="E10" s="17" t="s">
        <v>62</v>
      </c>
      <c r="F10" s="18" t="s">
        <v>44</v>
      </c>
      <c r="G10" s="18" t="s">
        <v>45</v>
      </c>
      <c r="H10" s="38" t="s">
        <v>46</v>
      </c>
      <c r="I10" s="42" t="s">
        <v>1</v>
      </c>
      <c r="J10" s="1" t="s">
        <v>47</v>
      </c>
      <c r="K10" s="1">
        <v>21</v>
      </c>
      <c r="L10" s="2">
        <v>13500</v>
      </c>
      <c r="M10" s="24">
        <v>84106526.639999986</v>
      </c>
      <c r="N10" s="25">
        <v>99209122.829999983</v>
      </c>
      <c r="O10" s="54">
        <v>6230.1130844444433</v>
      </c>
      <c r="P10" s="54">
        <v>7348.8239133333318</v>
      </c>
      <c r="Q10" s="54">
        <v>6541.6187386666661</v>
      </c>
      <c r="R10" s="55">
        <v>7716.2651089999981</v>
      </c>
      <c r="S10" s="46">
        <v>0.02</v>
      </c>
      <c r="T10" s="26"/>
    </row>
    <row r="11" spans="1:20" ht="57.6" x14ac:dyDescent="0.3">
      <c r="A11" s="15" t="s">
        <v>41</v>
      </c>
      <c r="B11" s="1" t="s">
        <v>63</v>
      </c>
      <c r="C11" s="16" t="s">
        <v>64</v>
      </c>
      <c r="D11" s="17">
        <v>39177</v>
      </c>
      <c r="E11" s="17">
        <v>39090</v>
      </c>
      <c r="F11" s="18" t="s">
        <v>50</v>
      </c>
      <c r="G11" s="18" t="s">
        <v>45</v>
      </c>
      <c r="H11" s="38" t="s">
        <v>65</v>
      </c>
      <c r="I11" s="42" t="s">
        <v>1</v>
      </c>
      <c r="J11" s="1" t="s">
        <v>47</v>
      </c>
      <c r="K11" s="1">
        <v>15</v>
      </c>
      <c r="L11" s="2">
        <v>13640</v>
      </c>
      <c r="M11" s="24">
        <v>130186206</v>
      </c>
      <c r="N11" s="25">
        <v>132264375</v>
      </c>
      <c r="O11" s="54">
        <v>9544.4432551319642</v>
      </c>
      <c r="P11" s="54">
        <v>9696.801686217008</v>
      </c>
      <c r="Q11" s="54">
        <v>10021.665417888564</v>
      </c>
      <c r="R11" s="55">
        <v>10181.64177052786</v>
      </c>
      <c r="S11" s="46">
        <v>0.02</v>
      </c>
      <c r="T11" s="26"/>
    </row>
    <row r="12" spans="1:20" ht="57.6" x14ac:dyDescent="0.3">
      <c r="A12" s="15" t="s">
        <v>41</v>
      </c>
      <c r="B12" s="1" t="s">
        <v>66</v>
      </c>
      <c r="C12" s="16" t="s">
        <v>67</v>
      </c>
      <c r="D12" s="17">
        <v>39198</v>
      </c>
      <c r="E12" s="17">
        <v>39090</v>
      </c>
      <c r="F12" s="18" t="s">
        <v>50</v>
      </c>
      <c r="G12" s="18" t="s">
        <v>45</v>
      </c>
      <c r="H12" s="38" t="s">
        <v>65</v>
      </c>
      <c r="I12" s="42" t="s">
        <v>0</v>
      </c>
      <c r="J12" s="1" t="s">
        <v>47</v>
      </c>
      <c r="K12" s="1">
        <v>16</v>
      </c>
      <c r="L12" s="2">
        <v>15582</v>
      </c>
      <c r="M12" s="24">
        <v>121384989.99999999</v>
      </c>
      <c r="N12" s="25">
        <v>116230475</v>
      </c>
      <c r="O12" s="54">
        <v>7790.0776537029897</v>
      </c>
      <c r="P12" s="54">
        <v>7459.2783339750995</v>
      </c>
      <c r="Q12" s="54">
        <v>8179.5815363881393</v>
      </c>
      <c r="R12" s="55">
        <v>7832.2422506738549</v>
      </c>
      <c r="S12" s="46">
        <v>0.02</v>
      </c>
      <c r="T12" s="26"/>
    </row>
    <row r="13" spans="1:20" ht="72" x14ac:dyDescent="0.3">
      <c r="A13" s="15" t="s">
        <v>31</v>
      </c>
      <c r="B13" s="1" t="s">
        <v>5</v>
      </c>
      <c r="C13" s="16" t="s">
        <v>17</v>
      </c>
      <c r="D13" s="17">
        <v>42310</v>
      </c>
      <c r="E13" s="16"/>
      <c r="F13" s="18" t="s">
        <v>44</v>
      </c>
      <c r="G13" s="18" t="s">
        <v>68</v>
      </c>
      <c r="H13" s="38" t="s">
        <v>46</v>
      </c>
      <c r="I13" s="42" t="s">
        <v>1</v>
      </c>
      <c r="J13" s="1" t="s">
        <v>3</v>
      </c>
      <c r="K13" s="1">
        <v>20</v>
      </c>
      <c r="L13" s="2">
        <v>12378</v>
      </c>
      <c r="M13" s="24">
        <v>102376292.93486899</v>
      </c>
      <c r="N13" s="3">
        <v>436346</v>
      </c>
      <c r="O13" s="54">
        <v>8270.8267034148485</v>
      </c>
      <c r="P13" s="54">
        <v>35.251736952657943</v>
      </c>
      <c r="Q13" s="54">
        <v>8684.3680385855914</v>
      </c>
      <c r="R13" s="55">
        <v>37.014323800290839</v>
      </c>
      <c r="S13" s="46"/>
      <c r="T13" s="26"/>
    </row>
    <row r="14" spans="1:20" ht="72" x14ac:dyDescent="0.3">
      <c r="A14" s="15" t="s">
        <v>31</v>
      </c>
      <c r="B14" s="1" t="s">
        <v>6</v>
      </c>
      <c r="C14" s="16" t="s">
        <v>18</v>
      </c>
      <c r="D14" s="17">
        <v>42275</v>
      </c>
      <c r="E14" s="16"/>
      <c r="F14" s="18" t="s">
        <v>44</v>
      </c>
      <c r="G14" s="18" t="s">
        <v>68</v>
      </c>
      <c r="H14" s="38" t="s">
        <v>46</v>
      </c>
      <c r="I14" s="42" t="s">
        <v>1</v>
      </c>
      <c r="J14" s="1" t="s">
        <v>3</v>
      </c>
      <c r="K14" s="1">
        <v>17</v>
      </c>
      <c r="L14" s="2">
        <v>16452</v>
      </c>
      <c r="M14" s="24">
        <v>186292738.53960824</v>
      </c>
      <c r="N14" s="3">
        <v>323524</v>
      </c>
      <c r="O14" s="54">
        <v>11323.409830999772</v>
      </c>
      <c r="P14" s="54">
        <v>19.664721614393386</v>
      </c>
      <c r="Q14" s="54">
        <v>11889.58032254976</v>
      </c>
      <c r="R14" s="55">
        <v>20.647957695113057</v>
      </c>
      <c r="S14" s="46"/>
      <c r="T14" s="26"/>
    </row>
    <row r="15" spans="1:20" ht="72" x14ac:dyDescent="0.3">
      <c r="A15" s="15" t="s">
        <v>31</v>
      </c>
      <c r="B15" s="1" t="s">
        <v>7</v>
      </c>
      <c r="C15" s="16" t="s">
        <v>19</v>
      </c>
      <c r="D15" s="17">
        <v>42319</v>
      </c>
      <c r="E15" s="16"/>
      <c r="F15" s="18" t="s">
        <v>44</v>
      </c>
      <c r="G15" s="18" t="s">
        <v>68</v>
      </c>
      <c r="H15" s="38" t="s">
        <v>46</v>
      </c>
      <c r="I15" s="42" t="s">
        <v>1</v>
      </c>
      <c r="J15" s="1" t="s">
        <v>3</v>
      </c>
      <c r="K15" s="1">
        <v>29</v>
      </c>
      <c r="L15" s="2">
        <v>20036</v>
      </c>
      <c r="M15" s="24">
        <v>172775277.90411091</v>
      </c>
      <c r="N15" s="3" t="s">
        <v>90</v>
      </c>
      <c r="O15" s="54">
        <v>8623.2420594984487</v>
      </c>
      <c r="P15" s="54" t="e">
        <v>#VALUE!</v>
      </c>
      <c r="Q15" s="54">
        <v>9054.4041624733709</v>
      </c>
      <c r="R15" s="55" t="e">
        <v>#VALUE!</v>
      </c>
      <c r="S15" s="46"/>
      <c r="T15" s="26"/>
    </row>
    <row r="16" spans="1:20" ht="72" x14ac:dyDescent="0.3">
      <c r="A16" s="15" t="s">
        <v>31</v>
      </c>
      <c r="B16" s="1" t="s">
        <v>8</v>
      </c>
      <c r="C16" s="16" t="s">
        <v>20</v>
      </c>
      <c r="D16" s="17">
        <v>42368</v>
      </c>
      <c r="E16" s="16"/>
      <c r="F16" s="18" t="s">
        <v>44</v>
      </c>
      <c r="G16" s="18" t="s">
        <v>45</v>
      </c>
      <c r="H16" s="38" t="s">
        <v>46</v>
      </c>
      <c r="I16" s="42" t="s">
        <v>1</v>
      </c>
      <c r="J16" s="1" t="s">
        <v>3</v>
      </c>
      <c r="K16" s="1">
        <v>29</v>
      </c>
      <c r="L16" s="2">
        <v>7</v>
      </c>
      <c r="M16" s="24">
        <v>145638000</v>
      </c>
      <c r="N16" s="3">
        <v>355335</v>
      </c>
      <c r="O16" s="54">
        <v>20805428.571428571</v>
      </c>
      <c r="P16" s="54">
        <v>50762.142857142855</v>
      </c>
      <c r="Q16" s="54">
        <v>21845700</v>
      </c>
      <c r="R16" s="55">
        <v>53300.25</v>
      </c>
      <c r="S16" s="46"/>
      <c r="T16" s="26"/>
    </row>
    <row r="17" spans="1:20" ht="72" x14ac:dyDescent="0.3">
      <c r="A17" s="15" t="s">
        <v>31</v>
      </c>
      <c r="B17" s="1" t="s">
        <v>15</v>
      </c>
      <c r="C17" s="16" t="s">
        <v>21</v>
      </c>
      <c r="D17" s="17">
        <v>42233</v>
      </c>
      <c r="E17" s="16"/>
      <c r="F17" s="18" t="s">
        <v>44</v>
      </c>
      <c r="G17" s="18" t="s">
        <v>68</v>
      </c>
      <c r="H17" s="38" t="s">
        <v>46</v>
      </c>
      <c r="I17" s="42" t="s">
        <v>1</v>
      </c>
      <c r="J17" s="1" t="s">
        <v>3</v>
      </c>
      <c r="K17" s="1">
        <v>18</v>
      </c>
      <c r="L17" s="2">
        <v>26127</v>
      </c>
      <c r="M17" s="24">
        <v>184590118.38790619</v>
      </c>
      <c r="N17" s="3">
        <v>463464</v>
      </c>
      <c r="O17" s="54">
        <v>7065.1095949747842</v>
      </c>
      <c r="P17" s="54">
        <v>17.738890802617981</v>
      </c>
      <c r="Q17" s="54">
        <v>7418.3650747235242</v>
      </c>
      <c r="R17" s="55">
        <v>18.625835342748882</v>
      </c>
      <c r="S17" s="46"/>
      <c r="T17" s="26"/>
    </row>
    <row r="18" spans="1:20" ht="72" x14ac:dyDescent="0.3">
      <c r="A18" s="15" t="s">
        <v>31</v>
      </c>
      <c r="B18" s="1" t="s">
        <v>9</v>
      </c>
      <c r="C18" s="16" t="s">
        <v>22</v>
      </c>
      <c r="D18" s="17">
        <v>42261</v>
      </c>
      <c r="E18" s="16"/>
      <c r="F18" s="18" t="s">
        <v>44</v>
      </c>
      <c r="G18" s="18" t="s">
        <v>68</v>
      </c>
      <c r="H18" s="38" t="s">
        <v>46</v>
      </c>
      <c r="I18" s="42" t="s">
        <v>1</v>
      </c>
      <c r="J18" s="1" t="s">
        <v>3</v>
      </c>
      <c r="K18" s="1">
        <v>21</v>
      </c>
      <c r="L18" s="2">
        <v>22748</v>
      </c>
      <c r="M18" s="24">
        <v>283396995.48347133</v>
      </c>
      <c r="N18" s="3">
        <v>436346</v>
      </c>
      <c r="O18" s="54">
        <v>12458.106008592902</v>
      </c>
      <c r="P18" s="54">
        <v>19.181730262001054</v>
      </c>
      <c r="Q18" s="54">
        <v>13081.011309022546</v>
      </c>
      <c r="R18" s="55">
        <v>20.140816775101111</v>
      </c>
      <c r="S18" s="46"/>
      <c r="T18" s="26"/>
    </row>
    <row r="19" spans="1:20" ht="72" x14ac:dyDescent="0.3">
      <c r="A19" s="15" t="s">
        <v>31</v>
      </c>
      <c r="B19" s="1" t="s">
        <v>10</v>
      </c>
      <c r="C19" s="16" t="s">
        <v>23</v>
      </c>
      <c r="D19" s="17">
        <v>42355</v>
      </c>
      <c r="E19" s="16"/>
      <c r="F19" s="18" t="s">
        <v>44</v>
      </c>
      <c r="G19" s="18" t="s">
        <v>70</v>
      </c>
      <c r="H19" s="38" t="s">
        <v>46</v>
      </c>
      <c r="I19" s="42" t="s">
        <v>1</v>
      </c>
      <c r="J19" s="1" t="s">
        <v>3</v>
      </c>
      <c r="K19" s="1">
        <v>23</v>
      </c>
      <c r="L19" s="2">
        <v>17723</v>
      </c>
      <c r="M19" s="24">
        <v>175741589</v>
      </c>
      <c r="N19" s="3">
        <v>323524</v>
      </c>
      <c r="O19" s="54">
        <v>9916.0181120577781</v>
      </c>
      <c r="P19" s="54">
        <v>18.254471590588501</v>
      </c>
      <c r="Q19" s="54">
        <v>10411.819017660668</v>
      </c>
      <c r="R19" s="55">
        <v>19.167195170117928</v>
      </c>
      <c r="S19" s="46"/>
      <c r="T19" s="26"/>
    </row>
    <row r="20" spans="1:20" ht="72" x14ac:dyDescent="0.3">
      <c r="A20" s="15" t="s">
        <v>31</v>
      </c>
      <c r="B20" s="1" t="s">
        <v>11</v>
      </c>
      <c r="C20" s="16" t="s">
        <v>24</v>
      </c>
      <c r="D20" s="17">
        <v>42321</v>
      </c>
      <c r="E20" s="16"/>
      <c r="F20" s="18" t="s">
        <v>44</v>
      </c>
      <c r="G20" s="18" t="s">
        <v>68</v>
      </c>
      <c r="H20" s="38" t="s">
        <v>46</v>
      </c>
      <c r="I20" s="42" t="s">
        <v>1</v>
      </c>
      <c r="J20" s="1" t="s">
        <v>3</v>
      </c>
      <c r="K20" s="1">
        <v>21</v>
      </c>
      <c r="L20" s="2">
        <v>25280</v>
      </c>
      <c r="M20" s="24">
        <v>160234479.5380936</v>
      </c>
      <c r="N20" s="3">
        <v>353553</v>
      </c>
      <c r="O20" s="54">
        <v>6338.3892222347149</v>
      </c>
      <c r="P20" s="54">
        <v>13.985482594936709</v>
      </c>
      <c r="Q20" s="54">
        <v>6655.3086833464513</v>
      </c>
      <c r="R20" s="55">
        <v>14.684756724683545</v>
      </c>
      <c r="S20" s="46"/>
      <c r="T20" s="26"/>
    </row>
    <row r="21" spans="1:20" ht="72" x14ac:dyDescent="0.3">
      <c r="A21" s="15" t="s">
        <v>31</v>
      </c>
      <c r="B21" s="1" t="s">
        <v>12</v>
      </c>
      <c r="C21" s="16" t="s">
        <v>25</v>
      </c>
      <c r="D21" s="17">
        <v>42366</v>
      </c>
      <c r="E21" s="16"/>
      <c r="F21" s="18" t="s">
        <v>44</v>
      </c>
      <c r="G21" s="18" t="s">
        <v>68</v>
      </c>
      <c r="H21" s="38" t="s">
        <v>46</v>
      </c>
      <c r="I21" s="42" t="s">
        <v>1</v>
      </c>
      <c r="J21" s="1" t="s">
        <v>3</v>
      </c>
      <c r="K21" s="1">
        <v>22</v>
      </c>
      <c r="L21" s="2">
        <v>24491</v>
      </c>
      <c r="M21" s="24">
        <v>157950644.17843628</v>
      </c>
      <c r="N21" s="3">
        <v>436346</v>
      </c>
      <c r="O21" s="54">
        <v>6449.3342116874064</v>
      </c>
      <c r="P21" s="54">
        <v>17.816585684537177</v>
      </c>
      <c r="Q21" s="54">
        <v>6771.8009222717774</v>
      </c>
      <c r="R21" s="55">
        <v>18.707414968764038</v>
      </c>
      <c r="S21" s="46"/>
      <c r="T21" s="26"/>
    </row>
    <row r="22" spans="1:20" ht="72" x14ac:dyDescent="0.3">
      <c r="A22" s="15" t="s">
        <v>31</v>
      </c>
      <c r="B22" s="1" t="s">
        <v>13</v>
      </c>
      <c r="C22" s="16" t="s">
        <v>26</v>
      </c>
      <c r="D22" s="17">
        <v>42422</v>
      </c>
      <c r="E22" s="16"/>
      <c r="F22" s="18" t="s">
        <v>44</v>
      </c>
      <c r="G22" s="18" t="s">
        <v>68</v>
      </c>
      <c r="H22" s="38" t="s">
        <v>46</v>
      </c>
      <c r="I22" s="42" t="s">
        <v>1</v>
      </c>
      <c r="J22" s="1" t="s">
        <v>3</v>
      </c>
      <c r="K22" s="1">
        <v>29</v>
      </c>
      <c r="L22" s="2">
        <v>27093</v>
      </c>
      <c r="M22" s="24">
        <v>257119465.64690232</v>
      </c>
      <c r="N22" s="3">
        <v>323524</v>
      </c>
      <c r="O22" s="54">
        <v>9490.2545176577842</v>
      </c>
      <c r="P22" s="54">
        <v>11.941239434540288</v>
      </c>
      <c r="Q22" s="54">
        <v>9964.767243540673</v>
      </c>
      <c r="R22" s="55">
        <v>12.538301406267301</v>
      </c>
      <c r="S22" s="46"/>
      <c r="T22" s="26"/>
    </row>
    <row r="23" spans="1:20" ht="72.599999999999994" thickBot="1" x14ac:dyDescent="0.35">
      <c r="A23" s="27" t="s">
        <v>31</v>
      </c>
      <c r="B23" s="28" t="s">
        <v>14</v>
      </c>
      <c r="C23" s="29" t="s">
        <v>27</v>
      </c>
      <c r="D23" s="30">
        <v>42335</v>
      </c>
      <c r="E23" s="29"/>
      <c r="F23" s="31" t="s">
        <v>44</v>
      </c>
      <c r="G23" s="31" t="s">
        <v>45</v>
      </c>
      <c r="H23" s="39" t="s">
        <v>46</v>
      </c>
      <c r="I23" s="43" t="s">
        <v>1</v>
      </c>
      <c r="J23" s="28" t="s">
        <v>3</v>
      </c>
      <c r="K23" s="28">
        <v>24</v>
      </c>
      <c r="L23" s="32">
        <v>19128</v>
      </c>
      <c r="M23" s="33">
        <v>201540466.22620308</v>
      </c>
      <c r="N23" s="34">
        <v>353553</v>
      </c>
      <c r="O23" s="56">
        <v>10536.41082320175</v>
      </c>
      <c r="P23" s="56">
        <v>18.483531994981181</v>
      </c>
      <c r="Q23" s="56">
        <v>11063.231364361838</v>
      </c>
      <c r="R23" s="57">
        <v>19.407708594730238</v>
      </c>
      <c r="S23" s="46"/>
      <c r="T23" s="36"/>
    </row>
  </sheetData>
  <mergeCells count="19">
    <mergeCell ref="G1:G5"/>
    <mergeCell ref="H1:H5"/>
    <mergeCell ref="A1:A5"/>
    <mergeCell ref="B1:B5"/>
    <mergeCell ref="C1:C5"/>
    <mergeCell ref="D1:D5"/>
    <mergeCell ref="E1:E5"/>
    <mergeCell ref="F1:F5"/>
    <mergeCell ref="S1:T1"/>
    <mergeCell ref="S2:S5"/>
    <mergeCell ref="T2:T5"/>
    <mergeCell ref="O4:P4"/>
    <mergeCell ref="Q4:R4"/>
    <mergeCell ref="I1:R1"/>
    <mergeCell ref="I2:I5"/>
    <mergeCell ref="J2:L4"/>
    <mergeCell ref="M2:R2"/>
    <mergeCell ref="M3:N4"/>
    <mergeCell ref="O3:R3"/>
  </mergeCells>
  <dataValidations count="5">
    <dataValidation type="list" allowBlank="1" showInputMessage="1" showErrorMessage="1" sqref="J2:J23">
      <formula1>"CD, Non-CD, -"</formula1>
    </dataValidation>
    <dataValidation type="list" allowBlank="1" showInputMessage="1" showErrorMessage="1" sqref="I6:I23">
      <formula1>"Typical, Interchange,Depot,-"</formula1>
    </dataValidation>
    <dataValidation type="list" allowBlank="1" showInputMessage="1" showErrorMessage="1" sqref="G6:G23">
      <formula1>"Station, Tunnels, Station&amp;Tunnel, Depot"</formula1>
    </dataValidation>
    <dataValidation type="list" allowBlank="1" showInputMessage="1" showErrorMessage="1" sqref="G1 F6:F23">
      <formula1>"BuildOnly, D&amp;B"</formula1>
    </dataValidation>
    <dataValidation type="list" allowBlank="1" showInputMessage="1" showErrorMessage="1" sqref="H1 H6:H23">
      <formula1>"Jurong/Kallang Formation , Old Alluvium/Kallang Formation, Bukit Timah/Kallang Formation"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67"/>
  <sheetViews>
    <sheetView topLeftCell="A34" zoomScale="40" zoomScaleNormal="40" workbookViewId="0">
      <selection activeCell="F45" sqref="F45"/>
    </sheetView>
  </sheetViews>
  <sheetFormatPr defaultColWidth="11.5546875" defaultRowHeight="14.4" x14ac:dyDescent="0.3"/>
  <cols>
    <col min="1" max="6" width="11.5546875" style="61"/>
    <col min="7" max="7" width="11.5546875" style="60"/>
    <col min="8" max="19" width="11.5546875" style="61"/>
    <col min="20" max="20" width="11.5546875" style="61" customWidth="1"/>
    <col min="21" max="16384" width="11.5546875" style="61"/>
  </cols>
  <sheetData>
    <row r="1" spans="23:23" x14ac:dyDescent="0.3">
      <c r="W1" s="60"/>
    </row>
    <row r="2" spans="23:23" x14ac:dyDescent="0.3">
      <c r="W2" s="60"/>
    </row>
    <row r="3" spans="23:23" x14ac:dyDescent="0.3">
      <c r="W3" s="60"/>
    </row>
    <row r="4" spans="23:23" x14ac:dyDescent="0.3">
      <c r="W4" s="60"/>
    </row>
    <row r="5" spans="23:23" x14ac:dyDescent="0.3">
      <c r="W5" s="60"/>
    </row>
    <row r="6" spans="23:23" x14ac:dyDescent="0.3">
      <c r="W6" s="60"/>
    </row>
    <row r="7" spans="23:23" x14ac:dyDescent="0.3">
      <c r="W7" s="60"/>
    </row>
    <row r="8" spans="23:23" x14ac:dyDescent="0.3">
      <c r="W8" s="60"/>
    </row>
    <row r="9" spans="23:23" x14ac:dyDescent="0.3">
      <c r="W9" s="60"/>
    </row>
    <row r="10" spans="23:23" x14ac:dyDescent="0.3">
      <c r="W10" s="60"/>
    </row>
    <row r="11" spans="23:23" x14ac:dyDescent="0.3">
      <c r="W11" s="60"/>
    </row>
    <row r="12" spans="23:23" x14ac:dyDescent="0.3">
      <c r="W12" s="60"/>
    </row>
    <row r="13" spans="23:23" x14ac:dyDescent="0.3">
      <c r="W13" s="60"/>
    </row>
    <row r="14" spans="23:23" x14ac:dyDescent="0.3">
      <c r="W14" s="60"/>
    </row>
    <row r="15" spans="23:23" x14ac:dyDescent="0.3">
      <c r="W15" s="60"/>
    </row>
    <row r="16" spans="23:23" x14ac:dyDescent="0.3">
      <c r="W16" s="60"/>
    </row>
    <row r="17" spans="23:23" x14ac:dyDescent="0.3">
      <c r="W17" s="60"/>
    </row>
    <row r="18" spans="23:23" x14ac:dyDescent="0.3">
      <c r="W18" s="60"/>
    </row>
    <row r="19" spans="23:23" x14ac:dyDescent="0.3">
      <c r="W19" s="60"/>
    </row>
    <row r="20" spans="23:23" x14ac:dyDescent="0.3">
      <c r="W20" s="60"/>
    </row>
    <row r="21" spans="23:23" x14ac:dyDescent="0.3">
      <c r="W21" s="60"/>
    </row>
    <row r="22" spans="23:23" x14ac:dyDescent="0.3">
      <c r="W22" s="60"/>
    </row>
    <row r="23" spans="23:23" x14ac:dyDescent="0.3">
      <c r="W23" s="60"/>
    </row>
    <row r="24" spans="23:23" x14ac:dyDescent="0.3">
      <c r="W24" s="60"/>
    </row>
    <row r="25" spans="23:23" x14ac:dyDescent="0.3">
      <c r="W25" s="60"/>
    </row>
    <row r="26" spans="23:23" x14ac:dyDescent="0.3">
      <c r="W26" s="60"/>
    </row>
    <row r="27" spans="23:23" x14ac:dyDescent="0.3">
      <c r="W27" s="60"/>
    </row>
    <row r="28" spans="23:23" x14ac:dyDescent="0.3">
      <c r="W28" s="60"/>
    </row>
    <row r="29" spans="23:23" x14ac:dyDescent="0.3">
      <c r="W29" s="60"/>
    </row>
    <row r="30" spans="23:23" x14ac:dyDescent="0.3">
      <c r="W30" s="60"/>
    </row>
    <row r="31" spans="23:23" x14ac:dyDescent="0.3">
      <c r="W31" s="60"/>
    </row>
    <row r="32" spans="23:23" x14ac:dyDescent="0.3">
      <c r="W32" s="60"/>
    </row>
    <row r="33" spans="23:23" ht="11.25" customHeight="1" x14ac:dyDescent="0.3">
      <c r="W33" s="60"/>
    </row>
    <row r="34" spans="23:23" ht="11.25" customHeight="1" x14ac:dyDescent="0.3">
      <c r="W34" s="60"/>
    </row>
    <row r="35" spans="23:23" ht="11.25" customHeight="1" x14ac:dyDescent="0.3">
      <c r="W35" s="60"/>
    </row>
    <row r="36" spans="23:23" ht="11.25" customHeight="1" x14ac:dyDescent="0.3">
      <c r="W36" s="60"/>
    </row>
    <row r="37" spans="23:23" ht="11.25" customHeight="1" x14ac:dyDescent="0.3">
      <c r="W37" s="60"/>
    </row>
    <row r="38" spans="23:23" ht="11.25" customHeight="1" x14ac:dyDescent="0.3">
      <c r="W38" s="60"/>
    </row>
    <row r="39" spans="23:23" ht="11.25" customHeight="1" x14ac:dyDescent="0.3">
      <c r="W39" s="60"/>
    </row>
    <row r="40" spans="23:23" ht="11.25" customHeight="1" x14ac:dyDescent="0.3">
      <c r="W40" s="60"/>
    </row>
    <row r="41" spans="23:23" ht="11.25" customHeight="1" x14ac:dyDescent="0.3">
      <c r="W41" s="60"/>
    </row>
    <row r="42" spans="23:23" ht="11.25" customHeight="1" x14ac:dyDescent="0.3">
      <c r="W42" s="60"/>
    </row>
    <row r="43" spans="23:23" ht="11.25" customHeight="1" x14ac:dyDescent="0.3">
      <c r="W43" s="60"/>
    </row>
    <row r="44" spans="23:23" ht="11.25" customHeight="1" x14ac:dyDescent="0.3">
      <c r="W44" s="60"/>
    </row>
    <row r="45" spans="23:23" ht="11.25" customHeight="1" x14ac:dyDescent="0.3">
      <c r="W45" s="60"/>
    </row>
    <row r="46" spans="23:23" ht="11.25" customHeight="1" x14ac:dyDescent="0.3">
      <c r="W46" s="60"/>
    </row>
    <row r="47" spans="23:23" ht="11.25" customHeight="1" x14ac:dyDescent="0.3">
      <c r="W47" s="60"/>
    </row>
    <row r="48" spans="23:23" ht="11.25" customHeight="1" x14ac:dyDescent="0.3">
      <c r="W48" s="60"/>
    </row>
    <row r="49" spans="1:30" ht="11.25" customHeight="1" x14ac:dyDescent="0.3">
      <c r="W49" s="60"/>
    </row>
    <row r="50" spans="1:30" ht="11.25" customHeight="1" x14ac:dyDescent="0.3">
      <c r="W50" s="60"/>
    </row>
    <row r="51" spans="1:30" s="66" customFormat="1" ht="60" customHeight="1" x14ac:dyDescent="0.3">
      <c r="A51" s="62" t="s">
        <v>72</v>
      </c>
      <c r="B51" s="63" t="s">
        <v>71</v>
      </c>
      <c r="C51" s="63" t="s">
        <v>73</v>
      </c>
      <c r="D51" s="64" t="s">
        <v>74</v>
      </c>
      <c r="E51" s="63" t="s">
        <v>75</v>
      </c>
      <c r="F51" s="64" t="s">
        <v>76</v>
      </c>
      <c r="G51" s="65" t="s">
        <v>77</v>
      </c>
      <c r="H51" s="66" t="s">
        <v>4</v>
      </c>
      <c r="Q51" s="62" t="s">
        <v>72</v>
      </c>
      <c r="R51" s="63" t="s">
        <v>71</v>
      </c>
      <c r="S51" s="63" t="s">
        <v>73</v>
      </c>
      <c r="T51" s="64" t="s">
        <v>74</v>
      </c>
      <c r="U51" s="63" t="s">
        <v>75</v>
      </c>
      <c r="V51" s="64" t="s">
        <v>76</v>
      </c>
      <c r="W51" s="65" t="s">
        <v>77</v>
      </c>
    </row>
    <row r="52" spans="1:30" s="71" customFormat="1" ht="14.25" customHeight="1" x14ac:dyDescent="0.3">
      <c r="A52" s="67" t="s">
        <v>78</v>
      </c>
      <c r="B52" s="68">
        <f>+'[1]Info Analysis'!F10</f>
        <v>26127</v>
      </c>
      <c r="C52" s="68">
        <f>+'[1]Info Analysis'!G10</f>
        <v>229066148.64060533</v>
      </c>
      <c r="D52" s="68">
        <f>+'[1]Info Analysis'!H10</f>
        <v>8767</v>
      </c>
      <c r="E52" s="68">
        <f>+'[1]Info Analysis'!L10</f>
        <v>233833057.81625083</v>
      </c>
      <c r="F52" s="68">
        <f>+'[1]Info Analysis'!M10</f>
        <v>8950</v>
      </c>
      <c r="G52" s="69">
        <f t="shared" ref="G52:G62" si="0">(F52-D52)/D52</f>
        <v>2.0873731036842706E-2</v>
      </c>
      <c r="H52" s="70">
        <f>+'[1]TEL Project Info'!G5</f>
        <v>42233</v>
      </c>
      <c r="Q52" s="67" t="s">
        <v>79</v>
      </c>
      <c r="R52" s="68">
        <v>12378</v>
      </c>
      <c r="S52" s="68">
        <v>102376292.93486899</v>
      </c>
      <c r="T52" s="68">
        <v>8271</v>
      </c>
      <c r="U52" s="68">
        <v>117087356.01271988</v>
      </c>
      <c r="V52" s="68">
        <v>9459</v>
      </c>
      <c r="W52" s="69">
        <f t="shared" ref="W52:W62" si="1">(V52-T52)/T52</f>
        <v>0.14363438520130578</v>
      </c>
      <c r="X52" s="70"/>
      <c r="AC52" s="70"/>
      <c r="AD52" s="70"/>
    </row>
    <row r="53" spans="1:30" s="71" customFormat="1" ht="14.25" customHeight="1" x14ac:dyDescent="0.3">
      <c r="A53" s="67" t="s">
        <v>80</v>
      </c>
      <c r="B53" s="68">
        <f>+'[1]Info Analysis'!F11</f>
        <v>22748</v>
      </c>
      <c r="C53" s="68">
        <f>+'[1]Info Analysis'!G11</f>
        <v>283396995.48347133</v>
      </c>
      <c r="D53" s="68">
        <f>+'[1]Info Analysis'!H11</f>
        <v>12458</v>
      </c>
      <c r="E53" s="68">
        <f>+'[1]Info Analysis'!L11</f>
        <v>272054298.55851465</v>
      </c>
      <c r="F53" s="68">
        <f>+'[1]Info Analysis'!M11</f>
        <v>11959</v>
      </c>
      <c r="G53" s="69">
        <f t="shared" si="0"/>
        <v>-4.0054583400224754E-2</v>
      </c>
      <c r="H53" s="70">
        <f>+'[1]TEL Project Info'!H5</f>
        <v>42261</v>
      </c>
      <c r="Q53" s="67" t="s">
        <v>81</v>
      </c>
      <c r="R53" s="68">
        <v>16452</v>
      </c>
      <c r="S53" s="68">
        <v>186292738.53960824</v>
      </c>
      <c r="T53" s="68">
        <v>11323</v>
      </c>
      <c r="U53" s="68">
        <v>197304127.2588127</v>
      </c>
      <c r="V53" s="68">
        <v>11992.713789132793</v>
      </c>
      <c r="W53" s="69">
        <f t="shared" si="1"/>
        <v>5.9146320686460564E-2</v>
      </c>
      <c r="X53" s="70"/>
    </row>
    <row r="54" spans="1:30" s="71" customFormat="1" ht="14.25" customHeight="1" x14ac:dyDescent="0.3">
      <c r="A54" s="67" t="s">
        <v>81</v>
      </c>
      <c r="B54" s="68">
        <f>+'[1]Info Analysis'!F7</f>
        <v>16452</v>
      </c>
      <c r="C54" s="68">
        <f>+'[1]Info Analysis'!G7</f>
        <v>186292738.53960824</v>
      </c>
      <c r="D54" s="68">
        <f>+'[1]Info Analysis'!H7</f>
        <v>11323</v>
      </c>
      <c r="E54" s="68">
        <f>+'[1]Info Analysis'!L7</f>
        <v>197304127.2588127</v>
      </c>
      <c r="F54" s="68">
        <f>+'[1]Info Analysis'!M7</f>
        <v>11992.713789132793</v>
      </c>
      <c r="G54" s="69">
        <f t="shared" si="0"/>
        <v>5.9146320686460564E-2</v>
      </c>
      <c r="H54" s="70">
        <f>+'[1]TEL Project Info'!D5</f>
        <v>42275</v>
      </c>
      <c r="Q54" s="67" t="s">
        <v>82</v>
      </c>
      <c r="R54" s="68">
        <v>20036</v>
      </c>
      <c r="S54" s="68">
        <v>172775277.90411091</v>
      </c>
      <c r="T54" s="68">
        <v>8623</v>
      </c>
      <c r="U54" s="68">
        <v>180181540.8311255</v>
      </c>
      <c r="V54" s="68">
        <v>8992.8898398445544</v>
      </c>
      <c r="W54" s="69">
        <f t="shared" si="1"/>
        <v>4.2895725367569804E-2</v>
      </c>
      <c r="X54" s="70"/>
    </row>
    <row r="55" spans="1:30" s="71" customFormat="1" ht="14.25" customHeight="1" x14ac:dyDescent="0.3">
      <c r="A55" s="67" t="s">
        <v>79</v>
      </c>
      <c r="B55" s="68">
        <f>+'[1]Info Analysis'!F6</f>
        <v>12378</v>
      </c>
      <c r="C55" s="68">
        <f>+'[1]Info Analysis'!G6</f>
        <v>102376292.93486899</v>
      </c>
      <c r="D55" s="68">
        <f>+'[1]Info Analysis'!H6</f>
        <v>8271</v>
      </c>
      <c r="E55" s="68">
        <f>+'[1]Info Analysis'!L6</f>
        <v>117087356.01271988</v>
      </c>
      <c r="F55" s="68">
        <f>+'[1]Info Analysis'!M6</f>
        <v>9459</v>
      </c>
      <c r="G55" s="69">
        <f t="shared" si="0"/>
        <v>0.14363438520130578</v>
      </c>
      <c r="H55" s="70">
        <f>+'[1]TEL Project Info'!C5</f>
        <v>42310</v>
      </c>
      <c r="Q55" s="67" t="s">
        <v>83</v>
      </c>
      <c r="R55" s="68">
        <v>15924</v>
      </c>
      <c r="S55" s="68">
        <v>145638000</v>
      </c>
      <c r="T55" s="68">
        <v>9146</v>
      </c>
      <c r="U55" s="68">
        <v>157606000</v>
      </c>
      <c r="V55" s="68">
        <v>9897.3875910575225</v>
      </c>
      <c r="W55" s="69">
        <f t="shared" si="1"/>
        <v>8.2154777067299636E-2</v>
      </c>
      <c r="X55" s="70"/>
    </row>
    <row r="56" spans="1:30" s="71" customFormat="1" ht="14.25" customHeight="1" x14ac:dyDescent="0.3">
      <c r="A56" s="67" t="s">
        <v>82</v>
      </c>
      <c r="B56" s="68">
        <f>+'[1]Info Analysis'!F8</f>
        <v>20036</v>
      </c>
      <c r="C56" s="68">
        <f>+'[1]Info Analysis'!G8</f>
        <v>172775277.90411091</v>
      </c>
      <c r="D56" s="68">
        <f>+'[1]Info Analysis'!H8</f>
        <v>8623</v>
      </c>
      <c r="E56" s="68">
        <f>+'[1]Info Analysis'!L8</f>
        <v>180181540.8311255</v>
      </c>
      <c r="F56" s="68">
        <f>+'[1]Info Analysis'!M8</f>
        <v>8992.8898398445544</v>
      </c>
      <c r="G56" s="69">
        <f t="shared" si="0"/>
        <v>4.2895725367569804E-2</v>
      </c>
      <c r="H56" s="70">
        <f>+'[1]TEL Project Info'!E5</f>
        <v>42319</v>
      </c>
      <c r="Q56" s="67" t="s">
        <v>78</v>
      </c>
      <c r="R56" s="68">
        <v>26127</v>
      </c>
      <c r="S56" s="68">
        <v>229066148.64060533</v>
      </c>
      <c r="T56" s="68">
        <v>8767</v>
      </c>
      <c r="U56" s="68">
        <v>233833057.81625083</v>
      </c>
      <c r="V56" s="68">
        <v>8950</v>
      </c>
      <c r="W56" s="69">
        <f t="shared" si="1"/>
        <v>2.0873731036842706E-2</v>
      </c>
      <c r="X56" s="70"/>
    </row>
    <row r="57" spans="1:30" s="71" customFormat="1" ht="14.25" customHeight="1" x14ac:dyDescent="0.3">
      <c r="A57" s="67" t="s">
        <v>84</v>
      </c>
      <c r="B57" s="68">
        <f>+'[1]Info Analysis'!F13</f>
        <v>25280</v>
      </c>
      <c r="C57" s="68">
        <f>+'[1]Info Analysis'!G13</f>
        <v>160234479.5380936</v>
      </c>
      <c r="D57" s="68">
        <f>+'[1]Info Analysis'!H13</f>
        <v>6338</v>
      </c>
      <c r="E57" s="68">
        <f>+'[1]Info Analysis'!L13</f>
        <v>165551448.08908561</v>
      </c>
      <c r="F57" s="68">
        <f>+'[1]Info Analysis'!M13</f>
        <v>6549</v>
      </c>
      <c r="G57" s="69">
        <f t="shared" si="0"/>
        <v>3.3291259072262547E-2</v>
      </c>
      <c r="H57" s="70">
        <f>+'[1]TEL Project Info'!J5</f>
        <v>42321</v>
      </c>
      <c r="Q57" s="67" t="s">
        <v>80</v>
      </c>
      <c r="R57" s="68">
        <v>22748</v>
      </c>
      <c r="S57" s="68">
        <v>283396995.48347133</v>
      </c>
      <c r="T57" s="68">
        <v>12458</v>
      </c>
      <c r="U57" s="68">
        <v>272054298.55851465</v>
      </c>
      <c r="V57" s="68">
        <v>11959</v>
      </c>
      <c r="W57" s="69">
        <f t="shared" si="1"/>
        <v>-4.0054583400224754E-2</v>
      </c>
      <c r="X57" s="70"/>
    </row>
    <row r="58" spans="1:30" s="71" customFormat="1" ht="14.25" customHeight="1" x14ac:dyDescent="0.3">
      <c r="A58" s="67" t="s">
        <v>85</v>
      </c>
      <c r="B58" s="68">
        <f>+'[1]Info Analysis'!F16</f>
        <v>19128</v>
      </c>
      <c r="C58" s="68">
        <f>+'[1]Info Analysis'!G16</f>
        <v>201540466.22620308</v>
      </c>
      <c r="D58" s="68">
        <f>+'[1]Info Analysis'!H16</f>
        <v>10536</v>
      </c>
      <c r="E58" s="68">
        <f>+'[1]Info Analysis'!L16</f>
        <v>271192790.67155033</v>
      </c>
      <c r="F58" s="68">
        <f>+'[1]Info Analysis'!M16</f>
        <v>14178</v>
      </c>
      <c r="G58" s="69">
        <f t="shared" si="0"/>
        <v>0.34567198177676539</v>
      </c>
      <c r="H58" s="70">
        <f>+'[1]TEL Project Info'!M5</f>
        <v>42335</v>
      </c>
      <c r="Q58" s="67" t="s">
        <v>86</v>
      </c>
      <c r="R58" s="68">
        <v>17723</v>
      </c>
      <c r="S58" s="68">
        <v>175741589</v>
      </c>
      <c r="T58" s="68">
        <v>9916</v>
      </c>
      <c r="U58" s="68">
        <v>182886863</v>
      </c>
      <c r="V58" s="68">
        <v>10319</v>
      </c>
      <c r="W58" s="69">
        <f t="shared" si="1"/>
        <v>4.0641387656313033E-2</v>
      </c>
      <c r="X58" s="70"/>
    </row>
    <row r="59" spans="1:30" s="71" customFormat="1" ht="14.25" customHeight="1" x14ac:dyDescent="0.3">
      <c r="A59" s="67" t="s">
        <v>86</v>
      </c>
      <c r="B59" s="68">
        <f>+'[1]Info Analysis'!F12</f>
        <v>17723</v>
      </c>
      <c r="C59" s="68">
        <f>+'[1]Info Analysis'!G12</f>
        <v>175741589</v>
      </c>
      <c r="D59" s="68">
        <f>+'[1]Info Analysis'!H12</f>
        <v>9916</v>
      </c>
      <c r="E59" s="68">
        <f>+'[1]Info Analysis'!L12</f>
        <v>182886863</v>
      </c>
      <c r="F59" s="68">
        <f>+'[1]Info Analysis'!M12</f>
        <v>10319</v>
      </c>
      <c r="G59" s="69">
        <f t="shared" si="0"/>
        <v>4.0641387656313033E-2</v>
      </c>
      <c r="H59" s="70">
        <f>+'[1]TEL Project Info'!I5</f>
        <v>42355</v>
      </c>
      <c r="Q59" s="67" t="s">
        <v>84</v>
      </c>
      <c r="R59" s="68">
        <v>25280</v>
      </c>
      <c r="S59" s="68">
        <v>160234479.5380936</v>
      </c>
      <c r="T59" s="68">
        <v>6338</v>
      </c>
      <c r="U59" s="68">
        <v>165551448.08908561</v>
      </c>
      <c r="V59" s="68">
        <v>6549</v>
      </c>
      <c r="W59" s="69">
        <f t="shared" si="1"/>
        <v>3.3291259072262547E-2</v>
      </c>
      <c r="X59" s="70"/>
    </row>
    <row r="60" spans="1:30" s="71" customFormat="1" ht="14.25" customHeight="1" x14ac:dyDescent="0.3">
      <c r="A60" s="67" t="s">
        <v>87</v>
      </c>
      <c r="B60" s="68">
        <f>+'[1]Info Analysis'!F14</f>
        <v>24491</v>
      </c>
      <c r="C60" s="68">
        <f>+'[1]Info Analysis'!G14</f>
        <v>157950644.17843628</v>
      </c>
      <c r="D60" s="68">
        <f>+'[1]Info Analysis'!H14</f>
        <v>6449</v>
      </c>
      <c r="E60" s="68">
        <f>+'[1]Info Analysis'!L14</f>
        <v>201633756.69888747</v>
      </c>
      <c r="F60" s="68">
        <f>+'[1]Info Analysis'!M14</f>
        <v>8233</v>
      </c>
      <c r="G60" s="69">
        <f t="shared" si="0"/>
        <v>0.2766320359745697</v>
      </c>
      <c r="H60" s="70">
        <f>+'[1]TEL Project Info'!K5</f>
        <v>42366</v>
      </c>
      <c r="Q60" s="67" t="s">
        <v>87</v>
      </c>
      <c r="R60" s="68">
        <v>24491</v>
      </c>
      <c r="S60" s="68">
        <v>157950644.17843628</v>
      </c>
      <c r="T60" s="68">
        <v>6449</v>
      </c>
      <c r="U60" s="68">
        <v>201633756.69888747</v>
      </c>
      <c r="V60" s="68">
        <v>8233</v>
      </c>
      <c r="W60" s="69">
        <f t="shared" si="1"/>
        <v>0.2766320359745697</v>
      </c>
      <c r="X60" s="70"/>
    </row>
    <row r="61" spans="1:30" s="71" customFormat="1" ht="14.25" customHeight="1" x14ac:dyDescent="0.3">
      <c r="A61" s="67" t="s">
        <v>83</v>
      </c>
      <c r="B61" s="68">
        <f>+'[1]Info Analysis'!F9</f>
        <v>15924</v>
      </c>
      <c r="C61" s="68">
        <f>+'[1]Info Analysis'!G9</f>
        <v>145638000</v>
      </c>
      <c r="D61" s="68">
        <f>+'[1]Info Analysis'!H9</f>
        <v>9146</v>
      </c>
      <c r="E61" s="68">
        <f>+'[1]Info Analysis'!L9</f>
        <v>157606000</v>
      </c>
      <c r="F61" s="68">
        <f>+'[1]Info Analysis'!M9</f>
        <v>9897.3875910575225</v>
      </c>
      <c r="G61" s="69">
        <f t="shared" si="0"/>
        <v>8.2154777067299636E-2</v>
      </c>
      <c r="H61" s="70">
        <f>+'[1]TEL Project Info'!F5</f>
        <v>42368</v>
      </c>
      <c r="Q61" s="67" t="s">
        <v>88</v>
      </c>
      <c r="R61" s="68">
        <v>27093</v>
      </c>
      <c r="S61" s="68">
        <v>257119465.64690232</v>
      </c>
      <c r="T61" s="68">
        <v>9490</v>
      </c>
      <c r="U61" s="68">
        <v>264432444.84836659</v>
      </c>
      <c r="V61" s="68">
        <v>9760</v>
      </c>
      <c r="W61" s="69">
        <f t="shared" si="1"/>
        <v>2.8451001053740779E-2</v>
      </c>
      <c r="X61" s="70"/>
    </row>
    <row r="62" spans="1:30" s="71" customFormat="1" ht="14.25" customHeight="1" x14ac:dyDescent="0.3">
      <c r="A62" s="67" t="s">
        <v>88</v>
      </c>
      <c r="B62" s="68">
        <f>+'[1]Info Analysis'!F15</f>
        <v>27093</v>
      </c>
      <c r="C62" s="68">
        <f>+'[1]Info Analysis'!G15</f>
        <v>257119465.64690232</v>
      </c>
      <c r="D62" s="68">
        <f>+'[1]Info Analysis'!H15</f>
        <v>9490</v>
      </c>
      <c r="E62" s="68">
        <f>+'[1]Info Analysis'!L15</f>
        <v>264432444.84836659</v>
      </c>
      <c r="F62" s="68">
        <f>+'[1]Info Analysis'!M15</f>
        <v>9760</v>
      </c>
      <c r="G62" s="69">
        <f t="shared" si="0"/>
        <v>2.8451001053740779E-2</v>
      </c>
      <c r="H62" s="70">
        <f>+'[1]TEL Project Info'!L5</f>
        <v>42422</v>
      </c>
      <c r="Q62" s="67" t="s">
        <v>85</v>
      </c>
      <c r="R62" s="68">
        <v>19128</v>
      </c>
      <c r="S62" s="68">
        <v>201540466.22620308</v>
      </c>
      <c r="T62" s="68">
        <v>10536</v>
      </c>
      <c r="U62" s="68">
        <v>271192790.67155033</v>
      </c>
      <c r="V62" s="68">
        <v>14178</v>
      </c>
      <c r="W62" s="69">
        <f t="shared" si="1"/>
        <v>0.34567198177676539</v>
      </c>
      <c r="X62" s="70"/>
    </row>
    <row r="63" spans="1:30" ht="12" customHeight="1" x14ac:dyDescent="0.3">
      <c r="W63" s="60"/>
    </row>
    <row r="64" spans="1:30" x14ac:dyDescent="0.3">
      <c r="A64" s="136" t="s">
        <v>89</v>
      </c>
      <c r="B64" s="137"/>
      <c r="C64" s="137"/>
      <c r="D64" s="137"/>
      <c r="E64" s="137"/>
      <c r="Q64" s="136" t="s">
        <v>89</v>
      </c>
      <c r="R64" s="137"/>
      <c r="S64" s="137"/>
      <c r="T64" s="137"/>
      <c r="U64" s="137"/>
      <c r="W64" s="60"/>
    </row>
    <row r="65" spans="23:23" x14ac:dyDescent="0.3">
      <c r="W65" s="60"/>
    </row>
    <row r="66" spans="23:23" x14ac:dyDescent="0.3">
      <c r="W66" s="60"/>
    </row>
    <row r="67" spans="23:23" x14ac:dyDescent="0.3">
      <c r="W67" s="60"/>
    </row>
  </sheetData>
  <mergeCells count="2">
    <mergeCell ref="A64:E64"/>
    <mergeCell ref="Q64:U6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Cost Database</vt:lpstr>
      <vt:lpstr>FilteredData</vt:lpstr>
      <vt:lpstr>Graph</vt:lpstr>
    </vt:vector>
  </TitlesOfParts>
  <Company>WOG 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lta_tansy10</dc:creator>
  <cp:lastModifiedBy>WH weilong</cp:lastModifiedBy>
  <dcterms:created xsi:type="dcterms:W3CDTF">2016-07-31T06:32:03Z</dcterms:created>
  <dcterms:modified xsi:type="dcterms:W3CDTF">2016-09-13T15:58:17Z</dcterms:modified>
</cp:coreProperties>
</file>